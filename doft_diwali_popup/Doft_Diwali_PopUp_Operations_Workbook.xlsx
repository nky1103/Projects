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ADME &amp; Assumptions" sheetId="1" state="visible" r:id="rId1"/>
    <sheet xmlns:r="http://schemas.openxmlformats.org/officeDocument/2006/relationships" name="2. Project Timeline" sheetId="2" state="visible" r:id="rId2"/>
    <sheet xmlns:r="http://schemas.openxmlformats.org/officeDocument/2006/relationships" name="3. Staffing Plan" sheetId="3" state="visible" r:id="rId3"/>
    <sheet xmlns:r="http://schemas.openxmlformats.org/officeDocument/2006/relationships" name="4. Manpower Cost" sheetId="4" state="visible" r:id="rId4"/>
    <sheet xmlns:r="http://schemas.openxmlformats.org/officeDocument/2006/relationships" name="5. Budget Summary" sheetId="5" state="visible" r:id="rId5"/>
    <sheet xmlns:r="http://schemas.openxmlformats.org/officeDocument/2006/relationships" name="6. Recruitment Tracker" sheetId="6" state="visible" r:id="rId6"/>
    <sheet xmlns:r="http://schemas.openxmlformats.org/officeDocument/2006/relationships" name="7. Attendance Tracker" sheetId="7" state="visible" r:id="rId7"/>
    <sheet xmlns:r="http://schemas.openxmlformats.org/officeDocument/2006/relationships" name="8. Daily Sales Report" sheetId="8" state="visible" r:id="rId8"/>
    <sheet xmlns:r="http://schemas.openxmlformats.org/officeDocument/2006/relationships" name="9. Inventory &amp; Replenish" sheetId="9" state="visible" r:id="rId9"/>
    <sheet xmlns:r="http://schemas.openxmlformats.org/officeDocument/2006/relationships" name="10. Footfall &amp; Conversion" sheetId="10" state="visible" r:id="rId10"/>
    <sheet xmlns:r="http://schemas.openxmlformats.org/officeDocument/2006/relationships" name="11. Customer Feedback" sheetId="11" state="visible" r:id="rId11"/>
    <sheet xmlns:r="http://schemas.openxmlformats.org/officeDocument/2006/relationships" name="12. Compliance Checklist" sheetId="12" state="visible" r:id="rId12"/>
    <sheet xmlns:r="http://schemas.openxmlformats.org/officeDocument/2006/relationships" name="13. Risk 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000000"/>
      <sz val="9"/>
    </font>
    <font>
      <name val="Arial"/>
      <b val="1"/>
      <color rgb="001F3864"/>
      <sz val="10"/>
    </font>
    <font>
      <name val="Arial"/>
      <color rgb="00000000"/>
      <sz val="9"/>
    </font>
    <font>
      <name val="Arial"/>
      <b val="1"/>
      <color rgb="00000000"/>
      <sz val="11"/>
    </font>
    <font>
      <name val="Arial"/>
      <i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65" fontId="11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165" fontId="5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5" fontId="6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Doft Ops</author>
  </authors>
  <commentList>
    <comment ref="A5" authorId="0" shapeId="0">
      <text>
        <t>Example row — delete or overwrite. Fill one row per record.</t>
      </text>
    </comment>
  </commentList>
</comments>
</file>

<file path=xl/comments/comment2.xml><?xml version="1.0" encoding="utf-8"?>
<comments xmlns="http://schemas.openxmlformats.org/spreadsheetml/2006/main">
  <authors>
    <author>Doft Ops</author>
  </authors>
  <commentList>
    <comment ref="A5" authorId="0" shapeId="0">
      <text>
        <t>Example row — delete or overwrite. Fill one row per record.</t>
      </text>
    </comment>
  </commentList>
</comments>
</file>

<file path=xl/comments/comment3.xml><?xml version="1.0" encoding="utf-8"?>
<comments xmlns="http://schemas.openxmlformats.org/spreadsheetml/2006/main">
  <authors>
    <author>Doft Ops</author>
  </authors>
  <commentList>
    <comment ref="A5" authorId="0" shapeId="0">
      <text>
        <t>Example row — delete or overwrite. Fill one row per record.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Doft Candles — Diwali Pop-Up Retail Operations</t>
        </is>
      </c>
    </row>
    <row r="2" ht="20" customHeight="1">
      <c r="A2" s="2" t="inlineStr">
        <is>
          <t>ProMarcom Inc.  |  Operations &amp; Costing Workbook  |  Seasons 2026 / 2027 / 2028</t>
        </is>
      </c>
    </row>
    <row r="4">
      <c r="A4" s="3" t="inlineStr">
        <is>
          <t>PURPOSE</t>
        </is>
      </c>
    </row>
    <row r="5" ht="42" customHeight="1">
      <c r="A5" s="4" t="inlineStr">
        <is>
          <t>This workbook is the operational and commercial toolkit for managing Doft Candles' seasonal Diwali pop-up kiosks. It contains the staffing model, cost/budget build-up, project timeline, and all daily-reporting, compliance and tracking templates required by the client brief.</t>
        </is>
      </c>
    </row>
    <row r="7">
      <c r="A7" s="3" t="inlineStr">
        <is>
          <t>HOW TO USE</t>
        </is>
      </c>
    </row>
    <row r="8" ht="20" customHeight="1">
      <c r="A8" s="5" t="inlineStr">
        <is>
          <t>Gold cells</t>
        </is>
      </c>
      <c r="B8" s="6" t="inlineStr">
        <is>
          <t>Inputs you edit — rates, counts, dates, actuals.</t>
        </is>
      </c>
      <c r="C8" s="7" t="n"/>
      <c r="D8" s="7" t="n"/>
      <c r="E8" s="7" t="n"/>
      <c r="F8" s="8" t="n"/>
    </row>
    <row r="9" ht="20" customHeight="1">
      <c r="A9" s="9" t="inlineStr">
        <is>
          <t>White cells</t>
        </is>
      </c>
      <c r="B9" s="6" t="inlineStr">
        <is>
          <t>Formula-driven — do not overwrite; they recalculate automatically.</t>
        </is>
      </c>
      <c r="C9" s="7" t="n"/>
      <c r="D9" s="7" t="n"/>
      <c r="E9" s="7" t="n"/>
      <c r="F9" s="8" t="n"/>
    </row>
    <row r="10" ht="20" customHeight="1">
      <c r="A10" s="10" t="inlineStr">
        <is>
          <t>Green cells</t>
        </is>
      </c>
      <c r="B10" s="6" t="inlineStr">
        <is>
          <t>Roll-up / summary totals.</t>
        </is>
      </c>
      <c r="C10" s="7" t="n"/>
      <c r="D10" s="7" t="n"/>
      <c r="E10" s="7" t="n"/>
      <c r="F10" s="8" t="n"/>
    </row>
    <row r="12">
      <c r="A12" s="11" t="inlineStr">
        <is>
          <t>GLOBAL ASSUMPTIONS  (edit these — they drive every other sheet)</t>
        </is>
      </c>
      <c r="B12" s="7" t="n"/>
      <c r="C12" s="7" t="n"/>
      <c r="D12" s="7" t="n"/>
      <c r="E12" s="7" t="n"/>
      <c r="F12" s="8" t="n"/>
    </row>
    <row r="13">
      <c r="A13" s="12" t="n"/>
      <c r="B13" s="12" t="n"/>
      <c r="C13" s="12" t="n"/>
      <c r="D13" s="13" t="inlineStr"/>
      <c r="E13" s="13" t="inlineStr"/>
      <c r="F13" s="13" t="inlineStr"/>
    </row>
    <row r="14" ht="18" customHeight="1">
      <c r="A14" s="6" t="inlineStr">
        <is>
          <t>Number of cities / regions</t>
        </is>
      </c>
      <c r="B14" s="5" t="n">
        <v>3</v>
      </c>
      <c r="C14" s="14" t="inlineStr">
        <is>
          <t>Brief: multi-city. Model default — edit as awarded.</t>
        </is>
      </c>
      <c r="D14" s="7" t="n"/>
      <c r="E14" s="7" t="n"/>
      <c r="F14" s="8" t="n"/>
    </row>
    <row r="15" ht="18" customHeight="1">
      <c r="A15" s="6" t="inlineStr">
        <is>
          <t>Pop-ups per region</t>
        </is>
      </c>
      <c r="B15" s="5" t="n">
        <v>3</v>
      </c>
      <c r="C15" s="14" t="inlineStr">
        <is>
          <t>Brief: 2–4 per region. Mid-point used.</t>
        </is>
      </c>
      <c r="D15" s="7" t="n"/>
      <c r="E15" s="7" t="n"/>
      <c r="F15" s="8" t="n"/>
    </row>
    <row r="16" ht="18" customHeight="1">
      <c r="A16" s="6" t="inlineStr">
        <is>
          <t>Total pop-ups (calc)</t>
        </is>
      </c>
      <c r="B16" s="10">
        <f>B14*B15</f>
        <v/>
      </c>
      <c r="C16" s="14" t="inlineStr">
        <is>
          <t>Cities × pop-ups per region.</t>
        </is>
      </c>
      <c r="D16" s="7" t="n"/>
      <c r="E16" s="7" t="n"/>
      <c r="F16" s="8" t="n"/>
    </row>
    <row r="17" ht="18" customHeight="1">
      <c r="A17" s="6" t="inlineStr">
        <is>
          <t>Operational duration (weeks)</t>
        </is>
      </c>
      <c r="B17" s="5" t="n">
        <v>4</v>
      </c>
      <c r="C17" s="14" t="inlineStr">
        <is>
          <t>Brief: 3–5 weeks before Diwali.</t>
        </is>
      </c>
      <c r="D17" s="7" t="n"/>
      <c r="E17" s="7" t="n"/>
      <c r="F17" s="8" t="n"/>
    </row>
    <row r="18" ht="18" customHeight="1">
      <c r="A18" s="6" t="inlineStr">
        <is>
          <t>Setup / fabrication (days)</t>
        </is>
      </c>
      <c r="B18" s="5" t="n">
        <v>5</v>
      </c>
      <c r="C18" s="14" t="inlineStr">
        <is>
          <t>Kiosk install + fit-out before go-live.</t>
        </is>
      </c>
      <c r="D18" s="7" t="n"/>
      <c r="E18" s="7" t="n"/>
      <c r="F18" s="8" t="n"/>
    </row>
    <row r="19" ht="18" customHeight="1">
      <c r="A19" s="6" t="inlineStr">
        <is>
          <t>Training window (days before go-live)</t>
        </is>
      </c>
      <c r="B19" s="5" t="n">
        <v>14</v>
      </c>
      <c r="C19" s="14" t="inlineStr">
        <is>
          <t>Brief: training 10–21 days prior.</t>
        </is>
      </c>
      <c r="D19" s="7" t="n"/>
      <c r="E19" s="7" t="n"/>
      <c r="F19" s="8" t="n"/>
    </row>
    <row r="20" ht="18" customHeight="1">
      <c r="A20" s="6" t="inlineStr">
        <is>
          <t>Staff per pop-up</t>
        </is>
      </c>
      <c r="B20" s="5" t="n">
        <v>12</v>
      </c>
      <c r="C20" s="14" t="inlineStr">
        <is>
          <t>Fixed by brief (see Staffing Plan tab).</t>
        </is>
      </c>
      <c r="D20" s="7" t="n"/>
      <c r="E20" s="7" t="n"/>
      <c r="F20" s="8" t="n"/>
    </row>
    <row r="21" ht="18" customHeight="1">
      <c r="A21" s="6" t="inlineStr">
        <is>
          <t>Operating days per week</t>
        </is>
      </c>
      <c r="B21" s="5" t="n">
        <v>7</v>
      </c>
      <c r="C21" s="14" t="inlineStr">
        <is>
          <t>Mall hours, all days.</t>
        </is>
      </c>
      <c r="D21" s="7" t="n"/>
      <c r="E21" s="7" t="n"/>
      <c r="F21" s="8" t="n"/>
    </row>
    <row r="22" ht="18" customHeight="1">
      <c r="A22" s="6" t="inlineStr">
        <is>
          <t>Store hours per day</t>
        </is>
      </c>
      <c r="B22" s="5" t="n">
        <v>11</v>
      </c>
      <c r="C22" s="14" t="inlineStr">
        <is>
          <t>Typical mall trading hours.</t>
        </is>
      </c>
      <c r="D22" s="7" t="n"/>
      <c r="E22" s="7" t="n"/>
      <c r="F22" s="8" t="n"/>
    </row>
    <row r="23" ht="18" customHeight="1">
      <c r="A23" s="6" t="inlineStr">
        <is>
          <t>Statutory load on wages (PF+ESI+etc.)</t>
        </is>
      </c>
      <c r="B23" s="15" t="n">
        <v>0.13</v>
      </c>
      <c r="C23" s="14" t="inlineStr">
        <is>
          <t>~13% employer statutory contribution.</t>
        </is>
      </c>
      <c r="D23" s="7" t="n"/>
      <c r="E23" s="7" t="n"/>
      <c r="F23" s="8" t="n"/>
    </row>
    <row r="24" ht="18" customHeight="1">
      <c r="A24" s="6" t="inlineStr">
        <is>
          <t>Contractor management margin</t>
        </is>
      </c>
      <c r="B24" s="15" t="n">
        <v>0.15</v>
      </c>
      <c r="C24" s="14" t="inlineStr">
        <is>
          <t>Applied on total direct cost.</t>
        </is>
      </c>
      <c r="D24" s="7" t="n"/>
      <c r="E24" s="7" t="n"/>
      <c r="F24" s="8" t="n"/>
    </row>
    <row r="25" ht="18" customHeight="1">
      <c r="A25" s="6" t="inlineStr">
        <is>
          <t>GST on contractor invoice</t>
        </is>
      </c>
      <c r="B25" s="15" t="n">
        <v>0.18</v>
      </c>
      <c r="C25" s="14" t="inlineStr">
        <is>
          <t>Output GST, 18%.</t>
        </is>
      </c>
      <c r="D25" s="7" t="n"/>
      <c r="E25" s="7" t="n"/>
      <c r="F25" s="8" t="n"/>
    </row>
    <row r="26" ht="18" customHeight="1">
      <c r="A26" s="6" t="inlineStr">
        <is>
          <t>Currency</t>
        </is>
      </c>
      <c r="B26" s="5" t="inlineStr">
        <is>
          <t>INR (₹)</t>
        </is>
      </c>
      <c r="C26" s="14" t="inlineStr">
        <is>
          <t>All figures in Indian Rupees.</t>
        </is>
      </c>
      <c r="D26" s="7" t="n"/>
      <c r="E26" s="7" t="n"/>
      <c r="F26" s="8" t="n"/>
    </row>
    <row r="28">
      <c r="A28" s="16" t="inlineStr">
        <is>
          <t>DISCLAIMER</t>
        </is>
      </c>
    </row>
    <row r="29" ht="30" customHeight="1">
      <c r="A29" s="17" t="inlineStr">
        <is>
          <t>All pay rates and cost figures are realistic planning placeholders, not quotations. Confirm against actual vendor quotes, mall licence fees, and statutory rates before commercial submission.</t>
        </is>
      </c>
    </row>
  </sheetData>
  <mergeCells count="21">
    <mergeCell ref="C17:F17"/>
    <mergeCell ref="C23:F23"/>
    <mergeCell ref="A12:F12"/>
    <mergeCell ref="C19:F19"/>
    <mergeCell ref="A2:F2"/>
    <mergeCell ref="C18:F18"/>
    <mergeCell ref="A5:F5"/>
    <mergeCell ref="C15:F15"/>
    <mergeCell ref="B8:F8"/>
    <mergeCell ref="C24:F24"/>
    <mergeCell ref="A29:F29"/>
    <mergeCell ref="C14:F14"/>
    <mergeCell ref="B10:F10"/>
    <mergeCell ref="C20:F20"/>
    <mergeCell ref="C26:F26"/>
    <mergeCell ref="C16:F16"/>
    <mergeCell ref="C25:F25"/>
    <mergeCell ref="B9:F9"/>
    <mergeCell ref="C22:F22"/>
    <mergeCell ref="A1:F1"/>
    <mergeCell ref="C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7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Project Timeline &amp; Milestones</t>
        </is>
      </c>
    </row>
    <row r="2" ht="20" customHeight="1">
      <c r="A2" s="2" t="inlineStr">
        <is>
          <t>Per-region rollout — T = kiosk go-live (Diwali season). Weeks shown relative to go-live.</t>
        </is>
      </c>
    </row>
    <row r="4">
      <c r="A4" s="12" t="inlineStr">
        <is>
          <t>#</t>
        </is>
      </c>
      <c r="B4" s="12" t="inlineStr">
        <is>
          <t>Phase / Activity</t>
        </is>
      </c>
      <c r="C4" s="12" t="inlineStr">
        <is>
          <t>Owner</t>
        </is>
      </c>
      <c r="D4" s="12" t="inlineStr">
        <is>
          <t>Start (T-)</t>
        </is>
      </c>
      <c r="E4" s="12" t="inlineStr">
        <is>
          <t>End (T-)</t>
        </is>
      </c>
      <c r="F4" s="12" t="inlineStr">
        <is>
          <t>T-6w</t>
        </is>
      </c>
      <c r="G4" s="12" t="inlineStr">
        <is>
          <t>T-5w</t>
        </is>
      </c>
      <c r="H4" s="12" t="inlineStr">
        <is>
          <t>T-4w</t>
        </is>
      </c>
      <c r="I4" s="12" t="inlineStr">
        <is>
          <t>T-3w</t>
        </is>
      </c>
      <c r="J4" s="12" t="inlineStr">
        <is>
          <t>T-2w</t>
        </is>
      </c>
      <c r="K4" s="12" t="inlineStr">
        <is>
          <t>T-1w</t>
        </is>
      </c>
    </row>
    <row r="5" ht="26" customHeight="1">
      <c r="A5" s="18" t="n">
        <v>1</v>
      </c>
      <c r="B5" s="19" t="inlineStr">
        <is>
          <t>Contract award &amp; kick-off</t>
        </is>
      </c>
      <c r="C5" s="20" t="inlineStr">
        <is>
          <t>Doft + Contractor</t>
        </is>
      </c>
      <c r="D5" s="20" t="inlineStr">
        <is>
          <t>T-8w</t>
        </is>
      </c>
      <c r="E5" s="20" t="inlineStr">
        <is>
          <t>T-7w</t>
        </is>
      </c>
      <c r="F5" s="21" t="inlineStr"/>
      <c r="G5" s="21" t="inlineStr"/>
      <c r="H5" s="21" t="inlineStr"/>
      <c r="I5" s="21" t="inlineStr"/>
      <c r="J5" s="21" t="inlineStr"/>
      <c r="K5" s="21" t="inlineStr"/>
    </row>
    <row r="6" ht="26" customHeight="1">
      <c r="A6" s="22" t="n">
        <v>2</v>
      </c>
      <c r="B6" s="23" t="inlineStr">
        <is>
          <t>Mall shortlisting &amp; licence applications</t>
        </is>
      </c>
      <c r="C6" s="24" t="inlineStr">
        <is>
          <t>Contractor</t>
        </is>
      </c>
      <c r="D6" s="24" t="inlineStr">
        <is>
          <t>T-7w</t>
        </is>
      </c>
      <c r="E6" s="24" t="inlineStr">
        <is>
          <t>T-4w</t>
        </is>
      </c>
      <c r="F6" s="25" t="inlineStr"/>
      <c r="G6" s="25" t="inlineStr"/>
      <c r="H6" s="25" t="inlineStr"/>
      <c r="I6" s="26" t="inlineStr"/>
      <c r="J6" s="26" t="inlineStr"/>
      <c r="K6" s="26" t="inlineStr"/>
    </row>
    <row r="7" ht="26" customHeight="1">
      <c r="A7" s="18" t="n">
        <v>3</v>
      </c>
      <c r="B7" s="19" t="inlineStr">
        <is>
          <t>Kiosk fabrication &amp; fit-out (Doft-approved design)</t>
        </is>
      </c>
      <c r="C7" s="20" t="inlineStr">
        <is>
          <t>Contractor</t>
        </is>
      </c>
      <c r="D7" s="20" t="inlineStr">
        <is>
          <t>T-3w</t>
        </is>
      </c>
      <c r="E7" s="20" t="inlineStr">
        <is>
          <t>T-1w</t>
        </is>
      </c>
      <c r="F7" s="21" t="inlineStr"/>
      <c r="G7" s="21" t="inlineStr"/>
      <c r="H7" s="21" t="inlineStr"/>
      <c r="I7" s="25" t="inlineStr"/>
      <c r="J7" s="25" t="inlineStr"/>
      <c r="K7" s="25" t="inlineStr"/>
    </row>
    <row r="8" ht="26" customHeight="1">
      <c r="A8" s="22" t="n">
        <v>4</v>
      </c>
      <c r="B8" s="23" t="inlineStr">
        <is>
          <t>Recruitment &amp; background verification</t>
        </is>
      </c>
      <c r="C8" s="24" t="inlineStr">
        <is>
          <t>Contractor</t>
        </is>
      </c>
      <c r="D8" s="24" t="inlineStr">
        <is>
          <t>T-6w</t>
        </is>
      </c>
      <c r="E8" s="24" t="inlineStr">
        <is>
          <t>T-2w</t>
        </is>
      </c>
      <c r="F8" s="25" t="inlineStr"/>
      <c r="G8" s="25" t="inlineStr"/>
      <c r="H8" s="25" t="inlineStr"/>
      <c r="I8" s="25" t="inlineStr"/>
      <c r="J8" s="26" t="inlineStr"/>
      <c r="K8" s="26" t="inlineStr"/>
    </row>
    <row r="9" ht="26" customHeight="1">
      <c r="A9" s="18" t="n">
        <v>5</v>
      </c>
      <c r="B9" s="19" t="inlineStr">
        <is>
          <t>Doft product &amp; sales training (1 day, 100% attendance)</t>
        </is>
      </c>
      <c r="C9" s="20" t="inlineStr">
        <is>
          <t>Doft</t>
        </is>
      </c>
      <c r="D9" s="20" t="inlineStr">
        <is>
          <t>T-2w</t>
        </is>
      </c>
      <c r="E9" s="20" t="inlineStr">
        <is>
          <t>T-2w</t>
        </is>
      </c>
      <c r="F9" s="21" t="inlineStr"/>
      <c r="G9" s="21" t="inlineStr"/>
      <c r="H9" s="21" t="inlineStr"/>
      <c r="I9" s="21" t="inlineStr"/>
      <c r="J9" s="25" t="inlineStr"/>
      <c r="K9" s="21" t="inlineStr"/>
    </row>
    <row r="10" ht="26" customHeight="1">
      <c r="A10" s="22" t="n">
        <v>6</v>
      </c>
      <c r="B10" s="23" t="inlineStr">
        <is>
          <t>Statutory registration &amp; staff onboarding/payroll setup</t>
        </is>
      </c>
      <c r="C10" s="24" t="inlineStr">
        <is>
          <t>Contractor</t>
        </is>
      </c>
      <c r="D10" s="24" t="inlineStr">
        <is>
          <t>T-4w</t>
        </is>
      </c>
      <c r="E10" s="24" t="inlineStr">
        <is>
          <t>T-1w</t>
        </is>
      </c>
      <c r="F10" s="26" t="inlineStr"/>
      <c r="G10" s="26" t="inlineStr"/>
      <c r="H10" s="25" t="inlineStr"/>
      <c r="I10" s="25" t="inlineStr"/>
      <c r="J10" s="25" t="inlineStr"/>
      <c r="K10" s="25" t="inlineStr"/>
    </row>
    <row r="11" ht="26" customHeight="1">
      <c r="A11" s="18" t="n">
        <v>7</v>
      </c>
      <c r="B11" s="19" t="inlineStr">
        <is>
          <t>Stock pickup from Ghaziabad warehouse &amp; first fill</t>
        </is>
      </c>
      <c r="C11" s="20" t="inlineStr">
        <is>
          <t>Contractor</t>
        </is>
      </c>
      <c r="D11" s="20" t="inlineStr">
        <is>
          <t>T-1w</t>
        </is>
      </c>
      <c r="E11" s="20" t="inlineStr">
        <is>
          <t>T-1w</t>
        </is>
      </c>
      <c r="F11" s="21" t="inlineStr"/>
      <c r="G11" s="21" t="inlineStr"/>
      <c r="H11" s="21" t="inlineStr"/>
      <c r="I11" s="21" t="inlineStr"/>
      <c r="J11" s="21" t="inlineStr"/>
      <c r="K11" s="25" t="inlineStr"/>
    </row>
    <row r="12" ht="26" customHeight="1">
      <c r="A12" s="22" t="n">
        <v>8</v>
      </c>
      <c r="B12" s="23" t="inlineStr">
        <is>
          <t>Store go-live &amp; daily operations (3–5 weeks)</t>
        </is>
      </c>
      <c r="C12" s="24" t="inlineStr">
        <is>
          <t>Contractor</t>
        </is>
      </c>
      <c r="D12" s="24" t="inlineStr">
        <is>
          <t>T</t>
        </is>
      </c>
      <c r="E12" s="24" t="inlineStr">
        <is>
          <t>T+5w</t>
        </is>
      </c>
      <c r="F12" s="26" t="inlineStr"/>
      <c r="G12" s="26" t="inlineStr"/>
      <c r="H12" s="26" t="inlineStr"/>
      <c r="I12" s="26" t="inlineStr"/>
      <c r="J12" s="26" t="inlineStr"/>
      <c r="K12" s="25" t="inlineStr"/>
    </row>
    <row r="13" ht="26" customHeight="1">
      <c r="A13" s="18" t="n">
        <v>9</v>
      </c>
      <c r="B13" s="19" t="inlineStr">
        <is>
          <t>Daily reporting (sales/footfall/inventory/attendance)</t>
        </is>
      </c>
      <c r="C13" s="20" t="inlineStr">
        <is>
          <t>Contractor</t>
        </is>
      </c>
      <c r="D13" s="20" t="inlineStr">
        <is>
          <t>T</t>
        </is>
      </c>
      <c r="E13" s="20" t="inlineStr">
        <is>
          <t>T+5w</t>
        </is>
      </c>
      <c r="F13" s="21" t="inlineStr"/>
      <c r="G13" s="21" t="inlineStr"/>
      <c r="H13" s="21" t="inlineStr"/>
      <c r="I13" s="21" t="inlineStr"/>
      <c r="J13" s="21" t="inlineStr"/>
      <c r="K13" s="25" t="inlineStr"/>
    </row>
    <row r="14" ht="26" customHeight="1">
      <c r="A14" s="22" t="n">
        <v>10</v>
      </c>
      <c r="B14" s="23" t="inlineStr">
        <is>
          <t>Replenishment cycles</t>
        </is>
      </c>
      <c r="C14" s="24" t="inlineStr">
        <is>
          <t>Contractor</t>
        </is>
      </c>
      <c r="D14" s="24" t="inlineStr">
        <is>
          <t>T</t>
        </is>
      </c>
      <c r="E14" s="24" t="inlineStr">
        <is>
          <t>T+5w</t>
        </is>
      </c>
      <c r="F14" s="26" t="inlineStr"/>
      <c r="G14" s="26" t="inlineStr"/>
      <c r="H14" s="26" t="inlineStr"/>
      <c r="I14" s="26" t="inlineStr"/>
      <c r="J14" s="26" t="inlineStr"/>
      <c r="K14" s="25" t="inlineStr"/>
    </row>
    <row r="15" ht="26" customHeight="1">
      <c r="A15" s="18" t="n">
        <v>11</v>
      </c>
      <c r="B15" s="19" t="inlineStr">
        <is>
          <t>Dismantling, fixture return &amp; unsold-stock return</t>
        </is>
      </c>
      <c r="C15" s="20" t="inlineStr">
        <is>
          <t>Contractor</t>
        </is>
      </c>
      <c r="D15" s="20" t="inlineStr">
        <is>
          <t>T+5w</t>
        </is>
      </c>
      <c r="E15" s="20" t="inlineStr">
        <is>
          <t>T+6w</t>
        </is>
      </c>
      <c r="F15" s="21" t="inlineStr"/>
      <c r="G15" s="21" t="inlineStr"/>
      <c r="H15" s="21" t="inlineStr"/>
      <c r="I15" s="21" t="inlineStr"/>
      <c r="J15" s="21" t="inlineStr"/>
      <c r="K15" s="21" t="inlineStr"/>
    </row>
    <row r="16" ht="26" customHeight="1">
      <c r="A16" s="22" t="n">
        <v>12</v>
      </c>
      <c r="B16" s="23" t="inlineStr">
        <is>
          <t>Final reconciliation &amp; season review</t>
        </is>
      </c>
      <c r="C16" s="24" t="inlineStr">
        <is>
          <t>Both</t>
        </is>
      </c>
      <c r="D16" s="24" t="inlineStr">
        <is>
          <t>T+6w</t>
        </is>
      </c>
      <c r="E16" s="24" t="inlineStr">
        <is>
          <t>T+6w</t>
        </is>
      </c>
      <c r="F16" s="26" t="inlineStr"/>
      <c r="G16" s="26" t="inlineStr"/>
      <c r="H16" s="26" t="inlineStr"/>
      <c r="I16" s="26" t="inlineStr"/>
      <c r="J16" s="26" t="inlineStr"/>
      <c r="K16" s="2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34" customWidth="1" min="4" max="4"/>
    <col width="16" customWidth="1" min="5" max="5"/>
    <col width="22" customWidth="1" min="6" max="6"/>
  </cols>
  <sheetData>
    <row r="1" ht="30" customHeight="1">
      <c r="A1" s="1" t="inlineStr">
        <is>
          <t>Staffing Plan — Per Pop-Up</t>
        </is>
      </c>
    </row>
    <row r="2" ht="20" customHeight="1">
      <c r="A2" s="2" t="inlineStr">
        <is>
          <t>Fixed composition per the brief: 12 personnel per kiosk.</t>
        </is>
      </c>
    </row>
    <row r="4">
      <c r="A4" s="12" t="inlineStr">
        <is>
          <t>Role</t>
        </is>
      </c>
      <c r="B4" s="12" t="inlineStr">
        <is>
          <t>Headcount</t>
        </is>
      </c>
      <c r="C4" s="12" t="inlineStr">
        <is>
          <t>Gender / Profile</t>
        </is>
      </c>
      <c r="D4" s="12" t="inlineStr">
        <is>
          <t>Key Requirement</t>
        </is>
      </c>
      <c r="E4" s="12" t="inlineStr">
        <is>
          <t>Reports To</t>
        </is>
      </c>
      <c r="F4" s="12" t="inlineStr">
        <is>
          <t>Employment</t>
        </is>
      </c>
    </row>
    <row r="5" ht="30" customHeight="1">
      <c r="A5" s="27" t="inlineStr">
        <is>
          <t>Sales Executive</t>
        </is>
      </c>
      <c r="B5" s="18" t="n">
        <v>6</v>
      </c>
      <c r="C5" s="28" t="inlineStr">
        <is>
          <t>Female, 22–25 yrs</t>
        </is>
      </c>
      <c r="D5" s="28" t="inlineStr">
        <is>
          <t>Fluent conversational English + retail sales experience</t>
        </is>
      </c>
      <c r="E5" s="20" t="inlineStr">
        <is>
          <t>Team Leader</t>
        </is>
      </c>
      <c r="F5" s="28" t="inlineStr">
        <is>
          <t>ProMarcom payroll</t>
        </is>
      </c>
    </row>
    <row r="6" ht="30" customHeight="1">
      <c r="A6" s="29" t="inlineStr">
        <is>
          <t>Sales Support Staff</t>
        </is>
      </c>
      <c r="B6" s="22" t="n">
        <v>2</v>
      </c>
      <c r="C6" s="30" t="inlineStr">
        <is>
          <t>Any</t>
        </is>
      </c>
      <c r="D6" s="30" t="inlineStr">
        <is>
          <t>Merchandising, stock handling, queue mgmt</t>
        </is>
      </c>
      <c r="E6" s="24" t="inlineStr">
        <is>
          <t>Team Leader</t>
        </is>
      </c>
      <c r="F6" s="30" t="inlineStr">
        <is>
          <t>ProMarcom payroll</t>
        </is>
      </c>
    </row>
    <row r="7" ht="30" customHeight="1">
      <c r="A7" s="27" t="inlineStr">
        <is>
          <t>Helper</t>
        </is>
      </c>
      <c r="B7" s="18" t="n">
        <v>1</v>
      </c>
      <c r="C7" s="28" t="inlineStr">
        <is>
          <t>Any</t>
        </is>
      </c>
      <c r="D7" s="28" t="inlineStr">
        <is>
          <t>Housekeeping, material handling</t>
        </is>
      </c>
      <c r="E7" s="20" t="inlineStr">
        <is>
          <t>Team Leader</t>
        </is>
      </c>
      <c r="F7" s="28" t="inlineStr">
        <is>
          <t>ProMarcom payroll</t>
        </is>
      </c>
    </row>
    <row r="8" ht="30" customHeight="1">
      <c r="A8" s="29" t="inlineStr">
        <is>
          <t>Cashier</t>
        </is>
      </c>
      <c r="B8" s="22" t="n">
        <v>1</v>
      </c>
      <c r="C8" s="30" t="inlineStr">
        <is>
          <t>Any</t>
        </is>
      </c>
      <c r="D8" s="30" t="inlineStr">
        <is>
          <t>Experienced with POS/EDC machines</t>
        </is>
      </c>
      <c r="E8" s="24" t="inlineStr">
        <is>
          <t>Team Leader</t>
        </is>
      </c>
      <c r="F8" s="30" t="inlineStr">
        <is>
          <t>ProMarcom payroll</t>
        </is>
      </c>
    </row>
    <row r="9" ht="30" customHeight="1">
      <c r="A9" s="27" t="inlineStr">
        <is>
          <t>Driver</t>
        </is>
      </c>
      <c r="B9" s="18" t="n">
        <v>1</v>
      </c>
      <c r="C9" s="28" t="inlineStr">
        <is>
          <t>Any</t>
        </is>
      </c>
      <c r="D9" s="28" t="inlineStr">
        <is>
          <t>Valid licence; stock transport &amp; runs</t>
        </is>
      </c>
      <c r="E9" s="20" t="inlineStr">
        <is>
          <t>Team Leader</t>
        </is>
      </c>
      <c r="F9" s="28" t="inlineStr">
        <is>
          <t>ProMarcom payroll</t>
        </is>
      </c>
    </row>
    <row r="10" ht="30" customHeight="1">
      <c r="A10" s="29" t="inlineStr">
        <is>
          <t>Team Leader / Manager</t>
        </is>
      </c>
      <c r="B10" s="22" t="n">
        <v>1</v>
      </c>
      <c r="C10" s="30" t="inlineStr">
        <is>
          <t>Any</t>
        </is>
      </c>
      <c r="D10" s="30" t="inlineStr">
        <is>
          <t>Daily operations owner</t>
        </is>
      </c>
      <c r="E10" s="24" t="inlineStr">
        <is>
          <t>Contractor Ops Head</t>
        </is>
      </c>
      <c r="F10" s="30" t="inlineStr">
        <is>
          <t>Permanent employee of contractor</t>
        </is>
      </c>
    </row>
    <row r="11">
      <c r="A11" s="31" t="inlineStr">
        <is>
          <t>TOTAL PER POP-UP</t>
        </is>
      </c>
      <c r="B11" s="10">
        <f>SUM(B5:B10)</f>
        <v/>
      </c>
      <c r="C11" s="32" t="inlineStr"/>
      <c r="D11" s="32" t="inlineStr"/>
      <c r="E11" s="32" t="inlineStr"/>
      <c r="F11" s="32" t="inlineStr"/>
    </row>
    <row r="13" ht="32" customHeight="1">
      <c r="A13" s="17" t="inlineStr">
        <is>
          <t>Attrition rule (brief): any attrition after training or during operations must be replaced immediately with equally-trained personnel at no additional cost. Maintain a trained bench — see Recruitment Tracker.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Manpower Cost Build-Up</t>
        </is>
      </c>
    </row>
    <row r="2" ht="20" customHeight="1">
      <c r="A2" s="2" t="inlineStr">
        <is>
          <t>Per pop-up monthly cost × duration, then rolled up to all pop-ups.</t>
        </is>
      </c>
    </row>
    <row r="4">
      <c r="A4" s="12" t="inlineStr">
        <is>
          <t>Role</t>
        </is>
      </c>
      <c r="B4" s="12" t="inlineStr">
        <is>
          <t>Headcount</t>
        </is>
      </c>
      <c r="C4" s="12" t="inlineStr">
        <is>
          <t>Monthly CTC (₹)</t>
        </is>
      </c>
      <c r="D4" s="12" t="inlineStr">
        <is>
          <t>Statutory Load</t>
        </is>
      </c>
      <c r="E4" s="12" t="inlineStr">
        <is>
          <t>Loaded Monthly (₹)</t>
        </is>
      </c>
      <c r="F4" s="12" t="inlineStr">
        <is>
          <t>Months</t>
        </is>
      </c>
      <c r="G4" s="12" t="inlineStr">
        <is>
          <t>Cost / Pop-up (₹)</t>
        </is>
      </c>
    </row>
    <row r="5" ht="18" customHeight="1">
      <c r="A5" s="21" t="inlineStr">
        <is>
          <t>Sales Executive</t>
        </is>
      </c>
      <c r="B5" s="18" t="n">
        <v>6</v>
      </c>
      <c r="C5" s="33" t="n">
        <v>22000</v>
      </c>
      <c r="D5" s="34">
        <f>'1. README &amp; Assumptions'!$B$23</f>
        <v/>
      </c>
      <c r="E5" s="35">
        <f>C5*(1+D5)</f>
        <v/>
      </c>
      <c r="F5" s="36">
        <f>('1. README &amp; Assumptions'!$B$17+2)/4.33</f>
        <v/>
      </c>
      <c r="G5" s="35">
        <f>B5*E5*F5</f>
        <v/>
      </c>
    </row>
    <row r="6" ht="18" customHeight="1">
      <c r="A6" s="26" t="inlineStr">
        <is>
          <t>Sales Support Staff</t>
        </is>
      </c>
      <c r="B6" s="22" t="n">
        <v>2</v>
      </c>
      <c r="C6" s="33" t="n">
        <v>16000</v>
      </c>
      <c r="D6" s="37">
        <f>'1. README &amp; Assumptions'!$B$23</f>
        <v/>
      </c>
      <c r="E6" s="38">
        <f>C6*(1+D6)</f>
        <v/>
      </c>
      <c r="F6" s="39">
        <f>('1. README &amp; Assumptions'!$B$17+2)/4.33</f>
        <v/>
      </c>
      <c r="G6" s="38">
        <f>B6*E6*F6</f>
        <v/>
      </c>
    </row>
    <row r="7" ht="18" customHeight="1">
      <c r="A7" s="21" t="inlineStr">
        <is>
          <t>Helper</t>
        </is>
      </c>
      <c r="B7" s="18" t="n">
        <v>1</v>
      </c>
      <c r="C7" s="33" t="n">
        <v>14000</v>
      </c>
      <c r="D7" s="34">
        <f>'1. README &amp; Assumptions'!$B$23</f>
        <v/>
      </c>
      <c r="E7" s="35">
        <f>C7*(1+D7)</f>
        <v/>
      </c>
      <c r="F7" s="36">
        <f>('1. README &amp; Assumptions'!$B$17+2)/4.33</f>
        <v/>
      </c>
      <c r="G7" s="35">
        <f>B7*E7*F7</f>
        <v/>
      </c>
    </row>
    <row r="8" ht="18" customHeight="1">
      <c r="A8" s="26" t="inlineStr">
        <is>
          <t>Cashier</t>
        </is>
      </c>
      <c r="B8" s="22" t="n">
        <v>1</v>
      </c>
      <c r="C8" s="33" t="n">
        <v>20000</v>
      </c>
      <c r="D8" s="37">
        <f>'1. README &amp; Assumptions'!$B$23</f>
        <v/>
      </c>
      <c r="E8" s="38">
        <f>C8*(1+D8)</f>
        <v/>
      </c>
      <c r="F8" s="39">
        <f>('1. README &amp; Assumptions'!$B$17+2)/4.33</f>
        <v/>
      </c>
      <c r="G8" s="38">
        <f>B8*E8*F8</f>
        <v/>
      </c>
    </row>
    <row r="9" ht="18" customHeight="1">
      <c r="A9" s="21" t="inlineStr">
        <is>
          <t>Driver</t>
        </is>
      </c>
      <c r="B9" s="18" t="n">
        <v>1</v>
      </c>
      <c r="C9" s="33" t="n">
        <v>18000</v>
      </c>
      <c r="D9" s="34">
        <f>'1. README &amp; Assumptions'!$B$23</f>
        <v/>
      </c>
      <c r="E9" s="35">
        <f>C9*(1+D9)</f>
        <v/>
      </c>
      <c r="F9" s="36">
        <f>('1. README &amp; Assumptions'!$B$17+2)/4.33</f>
        <v/>
      </c>
      <c r="G9" s="35">
        <f>B9*E9*F9</f>
        <v/>
      </c>
    </row>
    <row r="10" ht="18" customHeight="1">
      <c r="A10" s="26" t="inlineStr">
        <is>
          <t>Team Leader / Manager</t>
        </is>
      </c>
      <c r="B10" s="22" t="n">
        <v>1</v>
      </c>
      <c r="C10" s="33" t="n">
        <v>35000</v>
      </c>
      <c r="D10" s="37">
        <f>'1. README &amp; Assumptions'!$B$23</f>
        <v/>
      </c>
      <c r="E10" s="38">
        <f>C10*(1+D10)</f>
        <v/>
      </c>
      <c r="F10" s="39">
        <f>('1. README &amp; Assumptions'!$B$17+2)/4.33</f>
        <v/>
      </c>
      <c r="G10" s="38">
        <f>B10*E10*F10</f>
        <v/>
      </c>
    </row>
    <row r="11">
      <c r="A11" s="31" t="inlineStr">
        <is>
          <t>TOTAL PER POP-UP</t>
        </is>
      </c>
      <c r="B11" s="10">
        <f>SUM(B5:B10)</f>
        <v/>
      </c>
      <c r="C11" s="32" t="inlineStr"/>
      <c r="D11" s="32" t="inlineStr"/>
      <c r="E11" s="32" t="inlineStr"/>
      <c r="F11" s="32" t="inlineStr"/>
      <c r="G11" s="40">
        <f>SUM(G5:G10)</f>
        <v/>
      </c>
    </row>
    <row r="13">
      <c r="A13" s="41" t="inlineStr">
        <is>
          <t>Number of pop-ups</t>
        </is>
      </c>
      <c r="C13" s="42">
        <f>'1. README &amp; Assumptions'!$B$16</f>
        <v/>
      </c>
    </row>
    <row r="14">
      <c r="A14" s="43" t="inlineStr">
        <is>
          <t>TOTAL MANPOWER COST (all pop-ups)</t>
        </is>
      </c>
      <c r="B14" s="7" t="n"/>
      <c r="C14" s="7" t="n"/>
      <c r="D14" s="7" t="n"/>
      <c r="E14" s="7" t="n"/>
      <c r="F14" s="8" t="n"/>
      <c r="G14" s="44">
        <f>G11*C13</f>
        <v/>
      </c>
    </row>
    <row r="16" ht="28" customHeight="1">
      <c r="A16" s="17" t="inlineStr">
        <is>
          <t>Note: 'Months' includes ~2 extra weeks covering setup, training and buffer. Edit CTC (gold) to your actual pay bands.</t>
        </is>
      </c>
    </row>
  </sheetData>
  <mergeCells count="4">
    <mergeCell ref="A14:F14"/>
    <mergeCell ref="A16:G1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9" customWidth="1" min="4" max="4"/>
    <col width="17" customWidth="1" min="5" max="5"/>
    <col width="26" customWidth="1" min="6" max="6"/>
  </cols>
  <sheetData>
    <row r="1" ht="30" customHeight="1">
      <c r="A1" s="1" t="inlineStr">
        <is>
          <t>Budget Summary — Full Engagement</t>
        </is>
      </c>
    </row>
    <row r="2" ht="20" customHeight="1">
      <c r="A2" s="2" t="inlineStr">
        <is>
          <t>All cost heads. Per-pop-up inputs (gold) roll up by total pop-up count.</t>
        </is>
      </c>
    </row>
    <row r="4">
      <c r="A4" s="12" t="inlineStr">
        <is>
          <t>Cost Head</t>
        </is>
      </c>
      <c r="B4" s="12" t="inlineStr">
        <is>
          <t>Basis</t>
        </is>
      </c>
      <c r="C4" s="12" t="inlineStr">
        <is>
          <t>Per Pop-up (₹)</t>
        </is>
      </c>
      <c r="D4" s="12" t="inlineStr">
        <is>
          <t>Pop-ups</t>
        </is>
      </c>
      <c r="E4" s="12" t="inlineStr">
        <is>
          <t>Total (₹)</t>
        </is>
      </c>
      <c r="F4" s="12" t="inlineStr">
        <is>
          <t>Notes</t>
        </is>
      </c>
    </row>
    <row r="5" ht="24" customHeight="1">
      <c r="A5" s="28" t="inlineStr">
        <is>
          <t>Manpower (loaded, full duration)</t>
        </is>
      </c>
      <c r="B5" s="45" t="inlineStr">
        <is>
          <t>From Manpower Cost tab</t>
        </is>
      </c>
      <c r="C5" s="35">
        <f>'4. Manpower Cost'!$G$11</f>
        <v/>
      </c>
      <c r="D5" s="18">
        <f>'1. README &amp; Assumptions'!$B$16</f>
        <v/>
      </c>
      <c r="E5" s="35">
        <f>C5*D5</f>
        <v/>
      </c>
      <c r="F5" s="46" t="inlineStr">
        <is>
          <t>6 SE + 2 SS + Helper + Cashier + Driver + TL</t>
        </is>
      </c>
    </row>
    <row r="6" ht="24" customHeight="1">
      <c r="A6" s="30" t="inlineStr">
        <is>
          <t>Kiosk fabrication, fit-out &amp; signage</t>
        </is>
      </c>
      <c r="B6" s="47" t="inlineStr">
        <is>
          <t>Per pop-up</t>
        </is>
      </c>
      <c r="C6" s="33" t="n">
        <v>180000</v>
      </c>
      <c r="D6" s="22">
        <f>'1. README &amp; Assumptions'!$B$16</f>
        <v/>
      </c>
      <c r="E6" s="38">
        <f>C6*D6</f>
        <v/>
      </c>
      <c r="F6" s="48" t="inlineStr">
        <is>
          <t>On-site fabrication of Doft-approved design</t>
        </is>
      </c>
    </row>
    <row r="7" ht="24" customHeight="1">
      <c r="A7" s="28" t="inlineStr">
        <is>
          <t>Kiosk transport, install &amp; dismantle</t>
        </is>
      </c>
      <c r="B7" s="45" t="inlineStr">
        <is>
          <t>Per pop-up</t>
        </is>
      </c>
      <c r="C7" s="33" t="n">
        <v>45000</v>
      </c>
      <c r="D7" s="18">
        <f>'1. README &amp; Assumptions'!$B$16</f>
        <v/>
      </c>
      <c r="E7" s="35">
        <f>C7*D7</f>
        <v/>
      </c>
      <c r="F7" s="46" t="inlineStr">
        <is>
          <t>To/from mall, both ways</t>
        </is>
      </c>
    </row>
    <row r="8" ht="24" customHeight="1">
      <c r="A8" s="30" t="inlineStr">
        <is>
          <t>Mall licence / space fee (if borne)</t>
        </is>
      </c>
      <c r="B8" s="47" t="inlineStr">
        <is>
          <t>Per pop-up</t>
        </is>
      </c>
      <c r="C8" s="33" t="n">
        <v>250000</v>
      </c>
      <c r="D8" s="22">
        <f>'1. README &amp; Assumptions'!$B$16</f>
        <v/>
      </c>
      <c r="E8" s="38">
        <f>C8*D8</f>
        <v/>
      </c>
      <c r="F8" s="48" t="inlineStr">
        <is>
          <t>Confirm per mall — often reimbursed by Doft</t>
        </is>
      </c>
    </row>
    <row r="9" ht="24" customHeight="1">
      <c r="A9" s="28" t="inlineStr">
        <is>
          <t>Electricity / utilities &amp; access passes</t>
        </is>
      </c>
      <c r="B9" s="45" t="inlineStr">
        <is>
          <t>Per pop-up</t>
        </is>
      </c>
      <c r="C9" s="33" t="n">
        <v>25000</v>
      </c>
      <c r="D9" s="18">
        <f>'1. README &amp; Assumptions'!$B$16</f>
        <v/>
      </c>
      <c r="E9" s="35">
        <f>C9*D9</f>
        <v/>
      </c>
      <c r="F9" s="46" t="inlineStr">
        <is>
          <t>Mall charges for the period</t>
        </is>
      </c>
    </row>
    <row r="10" ht="24" customHeight="1">
      <c r="A10" s="30" t="inlineStr">
        <is>
          <t>Stockroom (~90 sq ft) rent</t>
        </is>
      </c>
      <c r="B10" s="47" t="inlineStr">
        <is>
          <t>Per pop-up</t>
        </is>
      </c>
      <c r="C10" s="33" t="n">
        <v>40000</v>
      </c>
      <c r="D10" s="22">
        <f>'1. README &amp; Assumptions'!$B$16</f>
        <v/>
      </c>
      <c r="E10" s="38">
        <f>C10*D10</f>
        <v/>
      </c>
      <c r="F10" s="48" t="inlineStr">
        <is>
          <t>Replenishment store</t>
        </is>
      </c>
    </row>
    <row r="11" ht="24" customHeight="1">
      <c r="A11" s="28" t="inlineStr">
        <is>
          <t>Logistics — Ghaziabad pickup &amp; replenishment</t>
        </is>
      </c>
      <c r="B11" s="45" t="inlineStr">
        <is>
          <t>Per pop-up</t>
        </is>
      </c>
      <c r="C11" s="33" t="n">
        <v>60000</v>
      </c>
      <c r="D11" s="18">
        <f>'1. README &amp; Assumptions'!$B$16</f>
        <v/>
      </c>
      <c r="E11" s="35">
        <f>C11*D11</f>
        <v/>
      </c>
      <c r="F11" s="46" t="inlineStr">
        <is>
          <t>Vehicle, fuel, driver runs</t>
        </is>
      </c>
    </row>
    <row r="12" ht="24" customHeight="1">
      <c r="A12" s="30" t="inlineStr">
        <is>
          <t>Uniform upkeep (wash/iron/maintain)</t>
        </is>
      </c>
      <c r="B12" s="47" t="inlineStr">
        <is>
          <t>Per pop-up</t>
        </is>
      </c>
      <c r="C12" s="33" t="n">
        <v>12000</v>
      </c>
      <c r="D12" s="22">
        <f>'1. README &amp; Assumptions'!$B$16</f>
        <v/>
      </c>
      <c r="E12" s="38">
        <f>C12*D12</f>
        <v/>
      </c>
      <c r="F12" s="48" t="inlineStr">
        <is>
          <t>Uniforms supplied by Doft; upkeep by contractor</t>
        </is>
      </c>
    </row>
    <row r="13" ht="24" customHeight="1">
      <c r="A13" s="28" t="inlineStr">
        <is>
          <t>Staff welfare (meals/transport/incentives)</t>
        </is>
      </c>
      <c r="B13" s="45" t="inlineStr">
        <is>
          <t>Per pop-up</t>
        </is>
      </c>
      <c r="C13" s="33" t="n">
        <v>55000</v>
      </c>
      <c r="D13" s="18">
        <f>'1. README &amp; Assumptions'!$B$16</f>
        <v/>
      </c>
      <c r="E13" s="35">
        <f>C13*D13</f>
        <v/>
      </c>
      <c r="F13" s="46" t="inlineStr">
        <is>
          <t>Attendance &amp; sales incentives</t>
        </is>
      </c>
    </row>
    <row r="14" ht="24" customHeight="1">
      <c r="A14" s="30" t="inlineStr">
        <is>
          <t>Statutory &amp; compliance filing</t>
        </is>
      </c>
      <c r="B14" s="47" t="inlineStr">
        <is>
          <t>Per pop-up</t>
        </is>
      </c>
      <c r="C14" s="33" t="n">
        <v>20000</v>
      </c>
      <c r="D14" s="22">
        <f>'1. README &amp; Assumptions'!$B$16</f>
        <v/>
      </c>
      <c r="E14" s="38">
        <f>C14*D14</f>
        <v/>
      </c>
      <c r="F14" s="48" t="inlineStr">
        <is>
          <t>Licences, registrations, insurance</t>
        </is>
      </c>
    </row>
    <row r="15" ht="24" customHeight="1">
      <c r="A15" s="28" t="inlineStr">
        <is>
          <t>Training logistics support</t>
        </is>
      </c>
      <c r="B15" s="45" t="inlineStr">
        <is>
          <t>Per pop-up</t>
        </is>
      </c>
      <c r="C15" s="33" t="n">
        <v>15000</v>
      </c>
      <c r="D15" s="18">
        <f>'1. README &amp; Assumptions'!$B$16</f>
        <v/>
      </c>
      <c r="E15" s="35">
        <f>C15*D15</f>
        <v/>
      </c>
      <c r="F15" s="46" t="inlineStr">
        <is>
          <t>Venue coordination, travel for training day</t>
        </is>
      </c>
    </row>
    <row r="16" ht="24" customHeight="1">
      <c r="A16" s="30" t="inlineStr">
        <is>
          <t>Contingency / attrition replacement buffer</t>
        </is>
      </c>
      <c r="B16" s="47" t="inlineStr">
        <is>
          <t>Per pop-up</t>
        </is>
      </c>
      <c r="C16" s="33" t="n">
        <v>30000</v>
      </c>
      <c r="D16" s="22">
        <f>'1. README &amp; Assumptions'!$B$16</f>
        <v/>
      </c>
      <c r="E16" s="38">
        <f>C16*D16</f>
        <v/>
      </c>
      <c r="F16" s="48" t="inlineStr">
        <is>
          <t>Bench &amp; immediate replacement</t>
        </is>
      </c>
    </row>
    <row r="17">
      <c r="A17" s="49" t="inlineStr">
        <is>
          <t>DIRECT COST SUBTOTAL</t>
        </is>
      </c>
      <c r="B17" s="7" t="n"/>
      <c r="C17" s="7" t="n"/>
      <c r="D17" s="8" t="n"/>
      <c r="E17" s="50">
        <f>SUM(E5:E16)</f>
        <v/>
      </c>
      <c r="F17" s="51" t="inlineStr"/>
    </row>
    <row r="18">
      <c r="A18" s="41" t="inlineStr">
        <is>
          <t>Contractor management margin</t>
        </is>
      </c>
      <c r="B18" s="7" t="n"/>
      <c r="C18" s="8" t="n"/>
      <c r="D18" s="52">
        <f>'1. README &amp; Assumptions'!$B$24</f>
        <v/>
      </c>
      <c r="E18" s="53">
        <f>E17*D18</f>
        <v/>
      </c>
      <c r="F18" s="13" t="inlineStr"/>
    </row>
    <row r="19">
      <c r="A19" s="31" t="inlineStr">
        <is>
          <t>CONTRACT VALUE (pre-GST)</t>
        </is>
      </c>
      <c r="B19" s="7" t="n"/>
      <c r="C19" s="7" t="n"/>
      <c r="D19" s="8" t="n"/>
      <c r="E19" s="40">
        <f>E17+E18</f>
        <v/>
      </c>
      <c r="F19" s="32" t="inlineStr"/>
    </row>
    <row r="20">
      <c r="A20" s="41" t="inlineStr">
        <is>
          <t>GST</t>
        </is>
      </c>
      <c r="B20" s="7" t="n"/>
      <c r="C20" s="8" t="n"/>
      <c r="D20" s="52">
        <f>'1. README &amp; Assumptions'!$B$25</f>
        <v/>
      </c>
      <c r="E20" s="53">
        <f>E19*D20</f>
        <v/>
      </c>
      <c r="F20" s="13" t="inlineStr"/>
    </row>
    <row r="21" ht="22" customHeight="1">
      <c r="A21" s="54" t="inlineStr">
        <is>
          <t>TOTAL CONTRACT VALUE (incl. GST)</t>
        </is>
      </c>
      <c r="B21" s="7" t="n"/>
      <c r="C21" s="7" t="n"/>
      <c r="D21" s="8" t="n"/>
      <c r="E21" s="55">
        <f>E19+E20</f>
        <v/>
      </c>
      <c r="F21" s="56" t="inlineStr"/>
    </row>
  </sheetData>
  <mergeCells count="7">
    <mergeCell ref="A2:F2"/>
    <mergeCell ref="A17:D17"/>
    <mergeCell ref="A1:F1"/>
    <mergeCell ref="A21:D21"/>
    <mergeCell ref="A18:C18"/>
    <mergeCell ref="A19:D19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6" customWidth="1" min="9" max="9"/>
    <col width="10" customWidth="1" min="10" max="10"/>
    <col width="22" customWidth="1" min="11" max="11"/>
  </cols>
  <sheetData>
    <row r="1" ht="30" customHeight="1">
      <c r="A1" s="1" t="inlineStr">
        <is>
          <t>Recruitment &amp; Deployment Tracker</t>
        </is>
      </c>
    </row>
    <row r="2" ht="20" customHeight="1">
      <c r="A2" s="2" t="inlineStr">
        <is>
          <t>One row per candidate. Track from sourcing through background verification, training and deployment.</t>
        </is>
      </c>
    </row>
    <row r="4">
      <c r="A4" s="12" t="inlineStr">
        <is>
          <t>Candidate</t>
        </is>
      </c>
      <c r="B4" s="12" t="inlineStr">
        <is>
          <t>Role</t>
        </is>
      </c>
      <c r="C4" s="12" t="inlineStr">
        <is>
          <t>City</t>
        </is>
      </c>
      <c r="D4" s="12" t="inlineStr">
        <is>
          <t>Pop-up ID</t>
        </is>
      </c>
      <c r="E4" s="12" t="inlineStr">
        <is>
          <t>Phone</t>
        </is>
      </c>
      <c r="F4" s="12" t="inlineStr">
        <is>
          <t>Sourced On</t>
        </is>
      </c>
      <c r="G4" s="12" t="inlineStr">
        <is>
          <t>BGV Status</t>
        </is>
      </c>
      <c r="H4" s="12" t="inlineStr">
        <is>
          <t>Training Done</t>
        </is>
      </c>
      <c r="I4" s="12" t="inlineStr">
        <is>
          <t>Deployment Status</t>
        </is>
      </c>
      <c r="J4" s="12" t="inlineStr">
        <is>
          <t>Bench (Y/N)</t>
        </is>
      </c>
      <c r="K4" s="12" t="inlineStr">
        <is>
          <t>Remarks</t>
        </is>
      </c>
    </row>
    <row r="5">
      <c r="A5" s="57" t="inlineStr">
        <is>
          <t>Priya Sharma</t>
        </is>
      </c>
      <c r="B5" s="58" t="inlineStr">
        <is>
          <t>Sales Executive</t>
        </is>
      </c>
      <c r="C5" s="58" t="inlineStr">
        <is>
          <t>Delhi</t>
        </is>
      </c>
      <c r="D5" s="58" t="inlineStr">
        <is>
          <t>DEL-01</t>
        </is>
      </c>
      <c r="E5" s="58" t="inlineStr">
        <is>
          <t>98xxxxxx01</t>
        </is>
      </c>
      <c r="F5" s="58" t="inlineStr">
        <is>
          <t>2026-09-20</t>
        </is>
      </c>
      <c r="G5" s="58" t="inlineStr">
        <is>
          <t>Verified</t>
        </is>
      </c>
      <c r="H5" s="58" t="inlineStr">
        <is>
          <t>Yes</t>
        </is>
      </c>
      <c r="I5" s="58" t="inlineStr">
        <is>
          <t>Deployed</t>
        </is>
      </c>
      <c r="J5" s="58" t="inlineStr">
        <is>
          <t>N</t>
        </is>
      </c>
      <c r="K5" s="58" t="inlineStr">
        <is>
          <t>Star performer prior season</t>
        </is>
      </c>
    </row>
    <row r="6" ht="16" customHeight="1">
      <c r="A6" s="45" t="inlineStr"/>
      <c r="B6" s="45" t="inlineStr"/>
      <c r="C6" s="45" t="inlineStr"/>
      <c r="D6" s="45" t="inlineStr"/>
      <c r="E6" s="45" t="inlineStr"/>
      <c r="F6" s="45" t="inlineStr"/>
      <c r="G6" s="45" t="inlineStr"/>
      <c r="H6" s="45" t="inlineStr"/>
      <c r="I6" s="45" t="inlineStr"/>
      <c r="J6" s="45" t="inlineStr"/>
      <c r="K6" s="45" t="inlineStr"/>
    </row>
    <row r="7" ht="16" customHeight="1">
      <c r="A7" s="47" t="inlineStr"/>
      <c r="B7" s="47" t="inlineStr"/>
      <c r="C7" s="47" t="inlineStr"/>
      <c r="D7" s="47" t="inlineStr"/>
      <c r="E7" s="47" t="inlineStr"/>
      <c r="F7" s="47" t="inlineStr"/>
      <c r="G7" s="47" t="inlineStr"/>
      <c r="H7" s="47" t="inlineStr"/>
      <c r="I7" s="47" t="inlineStr"/>
      <c r="J7" s="47" t="inlineStr"/>
      <c r="K7" s="47" t="inlineStr"/>
    </row>
    <row r="8" ht="16" customHeight="1">
      <c r="A8" s="45" t="inlineStr"/>
      <c r="B8" s="45" t="inlineStr"/>
      <c r="C8" s="45" t="inlineStr"/>
      <c r="D8" s="45" t="inlineStr"/>
      <c r="E8" s="45" t="inlineStr"/>
      <c r="F8" s="45" t="inlineStr"/>
      <c r="G8" s="45" t="inlineStr"/>
      <c r="H8" s="45" t="inlineStr"/>
      <c r="I8" s="45" t="inlineStr"/>
      <c r="J8" s="45" t="inlineStr"/>
      <c r="K8" s="45" t="inlineStr"/>
    </row>
    <row r="9" ht="16" customHeight="1">
      <c r="A9" s="47" t="inlineStr"/>
      <c r="B9" s="47" t="inlineStr"/>
      <c r="C9" s="47" t="inlineStr"/>
      <c r="D9" s="47" t="inlineStr"/>
      <c r="E9" s="47" t="inlineStr"/>
      <c r="F9" s="47" t="inlineStr"/>
      <c r="G9" s="47" t="inlineStr"/>
      <c r="H9" s="47" t="inlineStr"/>
      <c r="I9" s="47" t="inlineStr"/>
      <c r="J9" s="47" t="inlineStr"/>
      <c r="K9" s="47" t="inlineStr"/>
    </row>
    <row r="10" ht="16" customHeight="1">
      <c r="A10" s="45" t="inlineStr"/>
      <c r="B10" s="45" t="inlineStr"/>
      <c r="C10" s="45" t="inlineStr"/>
      <c r="D10" s="45" t="inlineStr"/>
      <c r="E10" s="45" t="inlineStr"/>
      <c r="F10" s="45" t="inlineStr"/>
      <c r="G10" s="45" t="inlineStr"/>
      <c r="H10" s="45" t="inlineStr"/>
      <c r="I10" s="45" t="inlineStr"/>
      <c r="J10" s="45" t="inlineStr"/>
      <c r="K10" s="45" t="inlineStr"/>
    </row>
    <row r="11" ht="16" customHeight="1">
      <c r="A11" s="47" t="inlineStr"/>
      <c r="B11" s="47" t="inlineStr"/>
      <c r="C11" s="47" t="inlineStr"/>
      <c r="D11" s="47" t="inlineStr"/>
      <c r="E11" s="47" t="inlineStr"/>
      <c r="F11" s="47" t="inlineStr"/>
      <c r="G11" s="47" t="inlineStr"/>
      <c r="H11" s="47" t="inlineStr"/>
      <c r="I11" s="47" t="inlineStr"/>
      <c r="J11" s="47" t="inlineStr"/>
      <c r="K11" s="47" t="inlineStr"/>
    </row>
    <row r="12" ht="16" customHeight="1">
      <c r="A12" s="45" t="inlineStr"/>
      <c r="B12" s="45" t="inlineStr"/>
      <c r="C12" s="45" t="inlineStr"/>
      <c r="D12" s="45" t="inlineStr"/>
      <c r="E12" s="45" t="inlineStr"/>
      <c r="F12" s="45" t="inlineStr"/>
      <c r="G12" s="45" t="inlineStr"/>
      <c r="H12" s="45" t="inlineStr"/>
      <c r="I12" s="45" t="inlineStr"/>
      <c r="J12" s="45" t="inlineStr"/>
      <c r="K12" s="45" t="inlineStr"/>
    </row>
    <row r="13" ht="16" customHeight="1">
      <c r="A13" s="47" t="inlineStr"/>
      <c r="B13" s="47" t="inlineStr"/>
      <c r="C13" s="47" t="inlineStr"/>
      <c r="D13" s="47" t="inlineStr"/>
      <c r="E13" s="47" t="inlineStr"/>
      <c r="F13" s="47" t="inlineStr"/>
      <c r="G13" s="47" t="inlineStr"/>
      <c r="H13" s="47" t="inlineStr"/>
      <c r="I13" s="47" t="inlineStr"/>
      <c r="J13" s="47" t="inlineStr"/>
      <c r="K13" s="47" t="inlineStr"/>
    </row>
    <row r="14" ht="16" customHeight="1">
      <c r="A14" s="45" t="inlineStr"/>
      <c r="B14" s="45" t="inlineStr"/>
      <c r="C14" s="45" t="inlineStr"/>
      <c r="D14" s="45" t="inlineStr"/>
      <c r="E14" s="45" t="inlineStr"/>
      <c r="F14" s="45" t="inlineStr"/>
      <c r="G14" s="45" t="inlineStr"/>
      <c r="H14" s="45" t="inlineStr"/>
      <c r="I14" s="45" t="inlineStr"/>
      <c r="J14" s="45" t="inlineStr"/>
      <c r="K14" s="45" t="inlineStr"/>
    </row>
    <row r="15" ht="16" customHeight="1">
      <c r="A15" s="47" t="inlineStr"/>
      <c r="B15" s="47" t="inlineStr"/>
      <c r="C15" s="47" t="inlineStr"/>
      <c r="D15" s="47" t="inlineStr"/>
      <c r="E15" s="47" t="inlineStr"/>
      <c r="F15" s="47" t="inlineStr"/>
      <c r="G15" s="47" t="inlineStr"/>
      <c r="H15" s="47" t="inlineStr"/>
      <c r="I15" s="47" t="inlineStr"/>
      <c r="J15" s="47" t="inlineStr"/>
      <c r="K15" s="47" t="inlineStr"/>
    </row>
    <row r="16" ht="16" customHeight="1">
      <c r="A16" s="45" t="inlineStr"/>
      <c r="B16" s="45" t="inlineStr"/>
      <c r="C16" s="45" t="inlineStr"/>
      <c r="D16" s="45" t="inlineStr"/>
      <c r="E16" s="45" t="inlineStr"/>
      <c r="F16" s="45" t="inlineStr"/>
      <c r="G16" s="45" t="inlineStr"/>
      <c r="H16" s="45" t="inlineStr"/>
      <c r="I16" s="45" t="inlineStr"/>
      <c r="J16" s="45" t="inlineStr"/>
      <c r="K16" s="45" t="inlineStr"/>
    </row>
    <row r="17" ht="16" customHeight="1">
      <c r="A17" s="47" t="inlineStr"/>
      <c r="B17" s="47" t="inlineStr"/>
      <c r="C17" s="47" t="inlineStr"/>
      <c r="D17" s="47" t="inlineStr"/>
      <c r="E17" s="47" t="inlineStr"/>
      <c r="F17" s="47" t="inlineStr"/>
      <c r="G17" s="47" t="inlineStr"/>
      <c r="H17" s="47" t="inlineStr"/>
      <c r="I17" s="47" t="inlineStr"/>
      <c r="J17" s="47" t="inlineStr"/>
      <c r="K17" s="47" t="inlineStr"/>
    </row>
    <row r="18" ht="16" customHeight="1">
      <c r="A18" s="45" t="inlineStr"/>
      <c r="B18" s="45" t="inlineStr"/>
      <c r="C18" s="45" t="inlineStr"/>
      <c r="D18" s="45" t="inlineStr"/>
      <c r="E18" s="45" t="inlineStr"/>
      <c r="F18" s="45" t="inlineStr"/>
      <c r="G18" s="45" t="inlineStr"/>
      <c r="H18" s="45" t="inlineStr"/>
      <c r="I18" s="45" t="inlineStr"/>
      <c r="J18" s="45" t="inlineStr"/>
      <c r="K18" s="45" t="inlineStr"/>
    </row>
    <row r="19" ht="16" customHeight="1">
      <c r="A19" s="47" t="inlineStr"/>
      <c r="B19" s="47" t="inlineStr"/>
      <c r="C19" s="47" t="inlineStr"/>
      <c r="D19" s="47" t="inlineStr"/>
      <c r="E19" s="47" t="inlineStr"/>
      <c r="F19" s="47" t="inlineStr"/>
      <c r="G19" s="47" t="inlineStr"/>
      <c r="H19" s="47" t="inlineStr"/>
      <c r="I19" s="47" t="inlineStr"/>
      <c r="J19" s="47" t="inlineStr"/>
      <c r="K19" s="47" t="inlineStr"/>
    </row>
    <row r="20" ht="16" customHeight="1">
      <c r="A20" s="45" t="inlineStr"/>
      <c r="B20" s="45" t="inlineStr"/>
      <c r="C20" s="45" t="inlineStr"/>
      <c r="D20" s="45" t="inlineStr"/>
      <c r="E20" s="45" t="inlineStr"/>
      <c r="F20" s="45" t="inlineStr"/>
      <c r="G20" s="45" t="inlineStr"/>
      <c r="H20" s="45" t="inlineStr"/>
      <c r="I20" s="45" t="inlineStr"/>
      <c r="J20" s="45" t="inlineStr"/>
      <c r="K20" s="45" t="inlineStr"/>
    </row>
    <row r="21" ht="16" customHeight="1">
      <c r="A21" s="47" t="inlineStr"/>
      <c r="B21" s="47" t="inlineStr"/>
      <c r="C21" s="47" t="inlineStr"/>
      <c r="D21" s="47" t="inlineStr"/>
      <c r="E21" s="47" t="inlineStr"/>
      <c r="F21" s="47" t="inlineStr"/>
      <c r="G21" s="47" t="inlineStr"/>
      <c r="H21" s="47" t="inlineStr"/>
      <c r="I21" s="47" t="inlineStr"/>
      <c r="J21" s="47" t="inlineStr"/>
      <c r="K21" s="47" t="inlineStr"/>
    </row>
    <row r="22" ht="16" customHeight="1">
      <c r="A22" s="45" t="inlineStr"/>
      <c r="B22" s="45" t="inlineStr"/>
      <c r="C22" s="45" t="inlineStr"/>
      <c r="D22" s="45" t="inlineStr"/>
      <c r="E22" s="45" t="inlineStr"/>
      <c r="F22" s="45" t="inlineStr"/>
      <c r="G22" s="45" t="inlineStr"/>
      <c r="H22" s="45" t="inlineStr"/>
      <c r="I22" s="45" t="inlineStr"/>
      <c r="J22" s="45" t="inlineStr"/>
      <c r="K22" s="45" t="inlineStr"/>
    </row>
    <row r="23" ht="16" customHeight="1">
      <c r="A23" s="47" t="inlineStr"/>
      <c r="B23" s="47" t="inlineStr"/>
      <c r="C23" s="47" t="inlineStr"/>
      <c r="D23" s="47" t="inlineStr"/>
      <c r="E23" s="47" t="inlineStr"/>
      <c r="F23" s="47" t="inlineStr"/>
      <c r="G23" s="47" t="inlineStr"/>
      <c r="H23" s="47" t="inlineStr"/>
      <c r="I23" s="47" t="inlineStr"/>
      <c r="J23" s="47" t="inlineStr"/>
      <c r="K23" s="47" t="inlineStr"/>
    </row>
    <row r="24" ht="16" customHeight="1">
      <c r="A24" s="45" t="inlineStr"/>
      <c r="B24" s="45" t="inlineStr"/>
      <c r="C24" s="45" t="inlineStr"/>
      <c r="D24" s="45" t="inlineStr"/>
      <c r="E24" s="45" t="inlineStr"/>
      <c r="F24" s="45" t="inlineStr"/>
      <c r="G24" s="45" t="inlineStr"/>
      <c r="H24" s="45" t="inlineStr"/>
      <c r="I24" s="45" t="inlineStr"/>
      <c r="J24" s="45" t="inlineStr"/>
      <c r="K24" s="45" t="inlineStr"/>
    </row>
    <row r="25" ht="16" customHeight="1">
      <c r="A25" s="47" t="inlineStr"/>
      <c r="B25" s="47" t="inlineStr"/>
      <c r="C25" s="47" t="inlineStr"/>
      <c r="D25" s="47" t="inlineStr"/>
      <c r="E25" s="47" t="inlineStr"/>
      <c r="F25" s="47" t="inlineStr"/>
      <c r="G25" s="47" t="inlineStr"/>
      <c r="H25" s="47" t="inlineStr"/>
      <c r="I25" s="47" t="inlineStr"/>
      <c r="J25" s="47" t="inlineStr"/>
      <c r="K25" s="47" t="inlineStr"/>
    </row>
    <row r="26" ht="16" customHeight="1">
      <c r="A26" s="45" t="inlineStr"/>
      <c r="B26" s="45" t="inlineStr"/>
      <c r="C26" s="45" t="inlineStr"/>
      <c r="D26" s="45" t="inlineStr"/>
      <c r="E26" s="45" t="inlineStr"/>
      <c r="F26" s="45" t="inlineStr"/>
      <c r="G26" s="45" t="inlineStr"/>
      <c r="H26" s="45" t="inlineStr"/>
      <c r="I26" s="45" t="inlineStr"/>
      <c r="J26" s="45" t="inlineStr"/>
      <c r="K26" s="45" t="inlineStr"/>
    </row>
    <row r="27" ht="16" customHeight="1">
      <c r="A27" s="47" t="inlineStr"/>
      <c r="B27" s="47" t="inlineStr"/>
      <c r="C27" s="47" t="inlineStr"/>
      <c r="D27" s="47" t="inlineStr"/>
      <c r="E27" s="47" t="inlineStr"/>
      <c r="F27" s="47" t="inlineStr"/>
      <c r="G27" s="47" t="inlineStr"/>
      <c r="H27" s="47" t="inlineStr"/>
      <c r="I27" s="47" t="inlineStr"/>
      <c r="J27" s="47" t="inlineStr"/>
      <c r="K27" s="47" t="inlineStr"/>
    </row>
    <row r="28" ht="16" customHeight="1">
      <c r="A28" s="45" t="inlineStr"/>
      <c r="B28" s="45" t="inlineStr"/>
      <c r="C28" s="45" t="inlineStr"/>
      <c r="D28" s="45" t="inlineStr"/>
      <c r="E28" s="45" t="inlineStr"/>
      <c r="F28" s="45" t="inlineStr"/>
      <c r="G28" s="45" t="inlineStr"/>
      <c r="H28" s="45" t="inlineStr"/>
      <c r="I28" s="45" t="inlineStr"/>
      <c r="J28" s="45" t="inlineStr"/>
      <c r="K28" s="45" t="inlineStr"/>
    </row>
    <row r="29" ht="16" customHeight="1">
      <c r="A29" s="47" t="inlineStr"/>
      <c r="B29" s="47" t="inlineStr"/>
      <c r="C29" s="47" t="inlineStr"/>
      <c r="D29" s="47" t="inlineStr"/>
      <c r="E29" s="47" t="inlineStr"/>
      <c r="F29" s="47" t="inlineStr"/>
      <c r="G29" s="47" t="inlineStr"/>
      <c r="H29" s="47" t="inlineStr"/>
      <c r="I29" s="47" t="inlineStr"/>
      <c r="J29" s="47" t="inlineStr"/>
      <c r="K29" s="47" t="inlineStr"/>
    </row>
  </sheetData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2" customWidth="1" min="12" max="12"/>
  </cols>
  <sheetData>
    <row r="1" ht="30" customHeight="1">
      <c r="A1" s="1" t="inlineStr">
        <is>
          <t>Daily Staff Attendance Tracker</t>
        </is>
      </c>
    </row>
    <row r="2" ht="20" customHeight="1">
      <c r="A2" s="2" t="inlineStr">
        <is>
          <t>Mark P (Present) / A (Absent) / L (Leave) / R (Replaced). One row per staff member.</t>
        </is>
      </c>
    </row>
    <row r="4">
      <c r="A4" s="12" t="inlineStr">
        <is>
          <t>Staff Name</t>
        </is>
      </c>
      <c r="B4" s="12" t="inlineStr">
        <is>
          <t>Role</t>
        </is>
      </c>
      <c r="C4" s="12" t="inlineStr">
        <is>
          <t>Pop-up ID</t>
        </is>
      </c>
      <c r="D4" s="12" t="inlineStr">
        <is>
          <t>D1</t>
        </is>
      </c>
      <c r="E4" s="12" t="inlineStr">
        <is>
          <t>D2</t>
        </is>
      </c>
      <c r="F4" s="12" t="inlineStr">
        <is>
          <t>D3</t>
        </is>
      </c>
      <c r="G4" s="12" t="inlineStr">
        <is>
          <t>D4</t>
        </is>
      </c>
      <c r="H4" s="12" t="inlineStr">
        <is>
          <t>D5</t>
        </is>
      </c>
      <c r="I4" s="12" t="inlineStr">
        <is>
          <t>D6</t>
        </is>
      </c>
      <c r="J4" s="12" t="inlineStr">
        <is>
          <t>D7</t>
        </is>
      </c>
      <c r="K4" s="12" t="inlineStr">
        <is>
          <t>Present</t>
        </is>
      </c>
      <c r="L4" s="12" t="inlineStr">
        <is>
          <t>% Attendance</t>
        </is>
      </c>
    </row>
    <row r="5">
      <c r="A5" s="59" t="inlineStr">
        <is>
          <t>Priya Sharma</t>
        </is>
      </c>
      <c r="B5" s="59" t="inlineStr">
        <is>
          <t>Sales Exec</t>
        </is>
      </c>
      <c r="C5" s="59" t="inlineStr">
        <is>
          <t>DEL-01</t>
        </is>
      </c>
      <c r="D5" s="60" t="inlineStr">
        <is>
          <t>P</t>
        </is>
      </c>
      <c r="E5" s="60" t="inlineStr">
        <is>
          <t>P</t>
        </is>
      </c>
      <c r="F5" s="60" t="inlineStr">
        <is>
          <t>P</t>
        </is>
      </c>
      <c r="G5" s="60" t="inlineStr">
        <is>
          <t>A</t>
        </is>
      </c>
      <c r="H5" s="60" t="inlineStr">
        <is>
          <t>P</t>
        </is>
      </c>
      <c r="I5" s="60" t="inlineStr">
        <is>
          <t>P</t>
        </is>
      </c>
      <c r="J5" s="60" t="inlineStr">
        <is>
          <t>P</t>
        </is>
      </c>
      <c r="K5" s="61">
        <f>COUNTIF(D5:J5,"P")</f>
        <v/>
      </c>
      <c r="L5" s="62">
        <f>IF(COUNTA(D5:J5)=0,"",K5/COUNTA(D5:J5))</f>
        <v/>
      </c>
    </row>
    <row r="6" ht="16" customHeight="1">
      <c r="A6" s="45" t="inlineStr"/>
      <c r="B6" s="45" t="inlineStr"/>
      <c r="C6" s="45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63">
        <f>COUNTIF(D6:J6,"P")</f>
        <v/>
      </c>
      <c r="L6" s="64">
        <f>IF(COUNTA(D6:J6)=0,"",K6/COUNTA(D6:J6))</f>
        <v/>
      </c>
    </row>
    <row r="7" ht="16" customHeight="1">
      <c r="A7" s="47" t="inlineStr"/>
      <c r="B7" s="47" t="inlineStr"/>
      <c r="C7" s="47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65">
        <f>COUNTIF(D7:J7,"P")</f>
        <v/>
      </c>
      <c r="L7" s="66">
        <f>IF(COUNTA(D7:J7)=0,"",K7/COUNTA(D7:J7))</f>
        <v/>
      </c>
    </row>
    <row r="8" ht="16" customHeight="1">
      <c r="A8" s="45" t="inlineStr"/>
      <c r="B8" s="45" t="inlineStr"/>
      <c r="C8" s="45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63">
        <f>COUNTIF(D8:J8,"P")</f>
        <v/>
      </c>
      <c r="L8" s="64">
        <f>IF(COUNTA(D8:J8)=0,"",K8/COUNTA(D8:J8))</f>
        <v/>
      </c>
    </row>
    <row r="9" ht="16" customHeight="1">
      <c r="A9" s="47" t="inlineStr"/>
      <c r="B9" s="47" t="inlineStr"/>
      <c r="C9" s="47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65">
        <f>COUNTIF(D9:J9,"P")</f>
        <v/>
      </c>
      <c r="L9" s="66">
        <f>IF(COUNTA(D9:J9)=0,"",K9/COUNTA(D9:J9))</f>
        <v/>
      </c>
    </row>
    <row r="10" ht="16" customHeight="1">
      <c r="A10" s="45" t="inlineStr"/>
      <c r="B10" s="45" t="inlineStr"/>
      <c r="C10" s="45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63">
        <f>COUNTIF(D10:J10,"P")</f>
        <v/>
      </c>
      <c r="L10" s="64">
        <f>IF(COUNTA(D10:J10)=0,"",K10/COUNTA(D10:J10))</f>
        <v/>
      </c>
    </row>
    <row r="11" ht="16" customHeight="1">
      <c r="A11" s="47" t="inlineStr"/>
      <c r="B11" s="47" t="inlineStr"/>
      <c r="C11" s="47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65">
        <f>COUNTIF(D11:J11,"P")</f>
        <v/>
      </c>
      <c r="L11" s="66">
        <f>IF(COUNTA(D11:J11)=0,"",K11/COUNTA(D11:J11))</f>
        <v/>
      </c>
    </row>
    <row r="12" ht="16" customHeight="1">
      <c r="A12" s="45" t="inlineStr"/>
      <c r="B12" s="45" t="inlineStr"/>
      <c r="C12" s="45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63">
        <f>COUNTIF(D12:J12,"P")</f>
        <v/>
      </c>
      <c r="L12" s="64">
        <f>IF(COUNTA(D12:J12)=0,"",K12/COUNTA(D12:J12))</f>
        <v/>
      </c>
    </row>
    <row r="13" ht="16" customHeight="1">
      <c r="A13" s="47" t="inlineStr"/>
      <c r="B13" s="47" t="inlineStr"/>
      <c r="C13" s="47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65">
        <f>COUNTIF(D13:J13,"P")</f>
        <v/>
      </c>
      <c r="L13" s="66">
        <f>IF(COUNTA(D13:J13)=0,"",K13/COUNTA(D13:J13))</f>
        <v/>
      </c>
    </row>
    <row r="14" ht="16" customHeight="1">
      <c r="A14" s="45" t="inlineStr"/>
      <c r="B14" s="45" t="inlineStr"/>
      <c r="C14" s="45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63">
        <f>COUNTIF(D14:J14,"P")</f>
        <v/>
      </c>
      <c r="L14" s="64">
        <f>IF(COUNTA(D14:J14)=0,"",K14/COUNTA(D14:J14))</f>
        <v/>
      </c>
    </row>
    <row r="15" ht="16" customHeight="1">
      <c r="A15" s="47" t="inlineStr"/>
      <c r="B15" s="47" t="inlineStr"/>
      <c r="C15" s="47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65">
        <f>COUNTIF(D15:J15,"P")</f>
        <v/>
      </c>
      <c r="L15" s="66">
        <f>IF(COUNTA(D15:J15)=0,"",K15/COUNTA(D15:J15))</f>
        <v/>
      </c>
    </row>
    <row r="16" ht="16" customHeight="1">
      <c r="A16" s="45" t="inlineStr"/>
      <c r="B16" s="45" t="inlineStr"/>
      <c r="C16" s="45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63">
        <f>COUNTIF(D16:J16,"P")</f>
        <v/>
      </c>
      <c r="L16" s="64">
        <f>IF(COUNTA(D16:J16)=0,"",K16/COUNTA(D16:J16))</f>
        <v/>
      </c>
    </row>
    <row r="17" ht="16" customHeight="1">
      <c r="A17" s="47" t="inlineStr"/>
      <c r="B17" s="47" t="inlineStr"/>
      <c r="C17" s="47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65">
        <f>COUNTIF(D17:J17,"P")</f>
        <v/>
      </c>
      <c r="L17" s="66">
        <f>IF(COUNTA(D17:J17)=0,"",K17/COUNTA(D17:J17))</f>
        <v/>
      </c>
    </row>
    <row r="18" ht="16" customHeight="1">
      <c r="A18" s="45" t="inlineStr"/>
      <c r="B18" s="45" t="inlineStr"/>
      <c r="C18" s="45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63">
        <f>COUNTIF(D18:J18,"P")</f>
        <v/>
      </c>
      <c r="L18" s="64">
        <f>IF(COUNTA(D18:J18)=0,"",K18/COUNTA(D18:J18))</f>
        <v/>
      </c>
    </row>
    <row r="19" ht="16" customHeight="1">
      <c r="A19" s="47" t="inlineStr"/>
      <c r="B19" s="47" t="inlineStr"/>
      <c r="C19" s="47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65">
        <f>COUNTIF(D19:J19,"P")</f>
        <v/>
      </c>
      <c r="L19" s="66">
        <f>IF(COUNTA(D19:J19)=0,"",K19/COUNTA(D19:J19))</f>
        <v/>
      </c>
    </row>
    <row r="20" ht="16" customHeight="1">
      <c r="A20" s="45" t="inlineStr"/>
      <c r="B20" s="45" t="inlineStr"/>
      <c r="C20" s="45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63">
        <f>COUNTIF(D20:J20,"P")</f>
        <v/>
      </c>
      <c r="L20" s="64">
        <f>IF(COUNTA(D20:J20)=0,"",K20/COUNTA(D20:J20))</f>
        <v/>
      </c>
    </row>
    <row r="21" ht="16" customHeight="1">
      <c r="A21" s="47" t="inlineStr"/>
      <c r="B21" s="47" t="inlineStr"/>
      <c r="C21" s="47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65">
        <f>COUNTIF(D21:J21,"P")</f>
        <v/>
      </c>
      <c r="L21" s="66">
        <f>IF(COUNTA(D21:J21)=0,"",K21/COUNTA(D21:J21))</f>
        <v/>
      </c>
    </row>
    <row r="22" ht="16" customHeight="1">
      <c r="A22" s="45" t="inlineStr"/>
      <c r="B22" s="45" t="inlineStr"/>
      <c r="C22" s="45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63">
        <f>COUNTIF(D22:J22,"P")</f>
        <v/>
      </c>
      <c r="L22" s="64">
        <f>IF(COUNTA(D22:J22)=0,"",K22/COUNTA(D22:J22))</f>
        <v/>
      </c>
    </row>
    <row r="23" ht="16" customHeight="1">
      <c r="A23" s="47" t="inlineStr"/>
      <c r="B23" s="47" t="inlineStr"/>
      <c r="C23" s="47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65">
        <f>COUNTIF(D23:J23,"P")</f>
        <v/>
      </c>
      <c r="L23" s="66">
        <f>IF(COUNTA(D23:J23)=0,"",K23/COUNTA(D23:J23))</f>
        <v/>
      </c>
    </row>
    <row r="24" ht="16" customHeight="1">
      <c r="A24" s="45" t="inlineStr"/>
      <c r="B24" s="45" t="inlineStr"/>
      <c r="C24" s="45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63">
        <f>COUNTIF(D24:J24,"P")</f>
        <v/>
      </c>
      <c r="L24" s="64">
        <f>IF(COUNTA(D24:J24)=0,"",K24/COUNTA(D24:J24))</f>
        <v/>
      </c>
    </row>
    <row r="25" ht="16" customHeight="1">
      <c r="A25" s="47" t="inlineStr"/>
      <c r="B25" s="47" t="inlineStr"/>
      <c r="C25" s="47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65">
        <f>COUNTIF(D25:J25,"P")</f>
        <v/>
      </c>
      <c r="L25" s="66">
        <f>IF(COUNTA(D25:J25)=0,"",K25/COUNTA(D25:J25))</f>
        <v/>
      </c>
    </row>
    <row r="26" ht="16" customHeight="1">
      <c r="A26" s="45" t="inlineStr"/>
      <c r="B26" s="45" t="inlineStr"/>
      <c r="C26" s="45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63">
        <f>COUNTIF(D26:J26,"P")</f>
        <v/>
      </c>
      <c r="L26" s="64">
        <f>IF(COUNTA(D26:J26)=0,"",K26/COUNTA(D26:J26))</f>
        <v/>
      </c>
    </row>
    <row r="27" ht="16" customHeight="1">
      <c r="A27" s="47" t="inlineStr"/>
      <c r="B27" s="47" t="inlineStr"/>
      <c r="C27" s="47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65">
        <f>COUNTIF(D27:J27,"P")</f>
        <v/>
      </c>
      <c r="L27" s="66">
        <f>IF(COUNTA(D27:J27)=0,"",K27/COUNTA(D27:J27))</f>
        <v/>
      </c>
    </row>
    <row r="28" ht="16" customHeight="1">
      <c r="A28" s="45" t="inlineStr"/>
      <c r="B28" s="45" t="inlineStr"/>
      <c r="C28" s="45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63">
        <f>COUNTIF(D28:J28,"P")</f>
        <v/>
      </c>
      <c r="L28" s="64">
        <f>IF(COUNTA(D28:J28)=0,"",K28/COUNTA(D28:J28))</f>
        <v/>
      </c>
    </row>
    <row r="29" ht="16" customHeight="1">
      <c r="A29" s="47" t="inlineStr"/>
      <c r="B29" s="47" t="inlineStr"/>
      <c r="C29" s="47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65">
        <f>COUNTIF(D29:J29,"P")</f>
        <v/>
      </c>
      <c r="L29" s="66">
        <f>IF(COUNTA(D29:J29)=0,"",K29/COUNTA(D29:J29))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5" customWidth="1" min="5" max="5"/>
    <col width="14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 ht="30" customHeight="1">
      <c r="A1" s="1" t="inlineStr">
        <is>
          <t>Daily Sales Report</t>
        </is>
      </c>
    </row>
    <row r="2" ht="20" customHeight="1">
      <c r="A2" s="2" t="inlineStr">
        <is>
          <t>One row per pop-up per day. Feeds the season sales roll-up at the bottom.</t>
        </is>
      </c>
    </row>
    <row r="4">
      <c r="A4" s="12" t="inlineStr">
        <is>
          <t>Date</t>
        </is>
      </c>
      <c r="B4" s="12" t="inlineStr">
        <is>
          <t>City</t>
        </is>
      </c>
      <c r="C4" s="12" t="inlineStr">
        <is>
          <t>Pop-up ID</t>
        </is>
      </c>
      <c r="D4" s="12" t="inlineStr">
        <is>
          <t>Units Sold</t>
        </is>
      </c>
      <c r="E4" s="12" t="inlineStr">
        <is>
          <t>Gross Sales (₹)</t>
        </is>
      </c>
      <c r="F4" s="12" t="inlineStr">
        <is>
          <t>Discounts (₹)</t>
        </is>
      </c>
      <c r="G4" s="12" t="inlineStr">
        <is>
          <t>Net Sales (₹)</t>
        </is>
      </c>
      <c r="H4" s="12" t="inlineStr">
        <is>
          <t>Bills</t>
        </is>
      </c>
      <c r="I4" s="12" t="inlineStr">
        <is>
          <t>Avg Bill (₹)</t>
        </is>
      </c>
      <c r="J4" s="12" t="inlineStr">
        <is>
          <t>Reported By</t>
        </is>
      </c>
    </row>
    <row r="5">
      <c r="A5" s="59" t="inlineStr">
        <is>
          <t>2026-10-15</t>
        </is>
      </c>
      <c r="B5" s="59" t="inlineStr">
        <is>
          <t>Delhi</t>
        </is>
      </c>
      <c r="C5" s="59" t="inlineStr">
        <is>
          <t>DEL-01</t>
        </is>
      </c>
      <c r="D5" s="60" t="n">
        <v>42</v>
      </c>
      <c r="E5" s="67" t="n">
        <v>168000</v>
      </c>
      <c r="F5" s="67" t="n">
        <v>8000</v>
      </c>
      <c r="G5" s="68">
        <f>E5-F5</f>
        <v/>
      </c>
      <c r="H5" s="60" t="n">
        <v>38</v>
      </c>
      <c r="I5" s="68">
        <f>IF(H5=0,0,G5/H5)</f>
        <v/>
      </c>
      <c r="J5" s="59" t="inlineStr">
        <is>
          <t>R. Verma</t>
        </is>
      </c>
    </row>
    <row r="6" ht="16" customHeight="1">
      <c r="A6" s="45" t="inlineStr"/>
      <c r="B6" s="45" t="inlineStr"/>
      <c r="C6" s="45" t="inlineStr"/>
      <c r="D6" s="20" t="inlineStr"/>
      <c r="E6" s="69" t="inlineStr"/>
      <c r="F6" s="69" t="inlineStr"/>
      <c r="G6" s="70">
        <f>E6-F6</f>
        <v/>
      </c>
      <c r="H6" s="20" t="inlineStr"/>
      <c r="I6" s="70">
        <f>IF(H6=0,0,G6/H6)</f>
        <v/>
      </c>
      <c r="J6" s="45" t="inlineStr"/>
    </row>
    <row r="7" ht="16" customHeight="1">
      <c r="A7" s="47" t="inlineStr"/>
      <c r="B7" s="47" t="inlineStr"/>
      <c r="C7" s="47" t="inlineStr"/>
      <c r="D7" s="24" t="inlineStr"/>
      <c r="E7" s="71" t="inlineStr"/>
      <c r="F7" s="71" t="inlineStr"/>
      <c r="G7" s="72">
        <f>E7-F7</f>
        <v/>
      </c>
      <c r="H7" s="24" t="inlineStr"/>
      <c r="I7" s="72">
        <f>IF(H7=0,0,G7/H7)</f>
        <v/>
      </c>
      <c r="J7" s="47" t="inlineStr"/>
    </row>
    <row r="8" ht="16" customHeight="1">
      <c r="A8" s="45" t="inlineStr"/>
      <c r="B8" s="45" t="inlineStr"/>
      <c r="C8" s="45" t="inlineStr"/>
      <c r="D8" s="20" t="inlineStr"/>
      <c r="E8" s="69" t="inlineStr"/>
      <c r="F8" s="69" t="inlineStr"/>
      <c r="G8" s="70">
        <f>E8-F8</f>
        <v/>
      </c>
      <c r="H8" s="20" t="inlineStr"/>
      <c r="I8" s="70">
        <f>IF(H8=0,0,G8/H8)</f>
        <v/>
      </c>
      <c r="J8" s="45" t="inlineStr"/>
    </row>
    <row r="9" ht="16" customHeight="1">
      <c r="A9" s="47" t="inlineStr"/>
      <c r="B9" s="47" t="inlineStr"/>
      <c r="C9" s="47" t="inlineStr"/>
      <c r="D9" s="24" t="inlineStr"/>
      <c r="E9" s="71" t="inlineStr"/>
      <c r="F9" s="71" t="inlineStr"/>
      <c r="G9" s="72">
        <f>E9-F9</f>
        <v/>
      </c>
      <c r="H9" s="24" t="inlineStr"/>
      <c r="I9" s="72">
        <f>IF(H9=0,0,G9/H9)</f>
        <v/>
      </c>
      <c r="J9" s="47" t="inlineStr"/>
    </row>
    <row r="10" ht="16" customHeight="1">
      <c r="A10" s="45" t="inlineStr"/>
      <c r="B10" s="45" t="inlineStr"/>
      <c r="C10" s="45" t="inlineStr"/>
      <c r="D10" s="20" t="inlineStr"/>
      <c r="E10" s="69" t="inlineStr"/>
      <c r="F10" s="69" t="inlineStr"/>
      <c r="G10" s="70">
        <f>E10-F10</f>
        <v/>
      </c>
      <c r="H10" s="20" t="inlineStr"/>
      <c r="I10" s="70">
        <f>IF(H10=0,0,G10/H10)</f>
        <v/>
      </c>
      <c r="J10" s="45" t="inlineStr"/>
    </row>
    <row r="11" ht="16" customHeight="1">
      <c r="A11" s="47" t="inlineStr"/>
      <c r="B11" s="47" t="inlineStr"/>
      <c r="C11" s="47" t="inlineStr"/>
      <c r="D11" s="24" t="inlineStr"/>
      <c r="E11" s="71" t="inlineStr"/>
      <c r="F11" s="71" t="inlineStr"/>
      <c r="G11" s="72">
        <f>E11-F11</f>
        <v/>
      </c>
      <c r="H11" s="24" t="inlineStr"/>
      <c r="I11" s="72">
        <f>IF(H11=0,0,G11/H11)</f>
        <v/>
      </c>
      <c r="J11" s="47" t="inlineStr"/>
    </row>
    <row r="12" ht="16" customHeight="1">
      <c r="A12" s="45" t="inlineStr"/>
      <c r="B12" s="45" t="inlineStr"/>
      <c r="C12" s="45" t="inlineStr"/>
      <c r="D12" s="20" t="inlineStr"/>
      <c r="E12" s="69" t="inlineStr"/>
      <c r="F12" s="69" t="inlineStr"/>
      <c r="G12" s="70">
        <f>E12-F12</f>
        <v/>
      </c>
      <c r="H12" s="20" t="inlineStr"/>
      <c r="I12" s="70">
        <f>IF(H12=0,0,G12/H12)</f>
        <v/>
      </c>
      <c r="J12" s="45" t="inlineStr"/>
    </row>
    <row r="13" ht="16" customHeight="1">
      <c r="A13" s="47" t="inlineStr"/>
      <c r="B13" s="47" t="inlineStr"/>
      <c r="C13" s="47" t="inlineStr"/>
      <c r="D13" s="24" t="inlineStr"/>
      <c r="E13" s="71" t="inlineStr"/>
      <c r="F13" s="71" t="inlineStr"/>
      <c r="G13" s="72">
        <f>E13-F13</f>
        <v/>
      </c>
      <c r="H13" s="24" t="inlineStr"/>
      <c r="I13" s="72">
        <f>IF(H13=0,0,G13/H13)</f>
        <v/>
      </c>
      <c r="J13" s="47" t="inlineStr"/>
    </row>
    <row r="14" ht="16" customHeight="1">
      <c r="A14" s="45" t="inlineStr"/>
      <c r="B14" s="45" t="inlineStr"/>
      <c r="C14" s="45" t="inlineStr"/>
      <c r="D14" s="20" t="inlineStr"/>
      <c r="E14" s="69" t="inlineStr"/>
      <c r="F14" s="69" t="inlineStr"/>
      <c r="G14" s="70">
        <f>E14-F14</f>
        <v/>
      </c>
      <c r="H14" s="20" t="inlineStr"/>
      <c r="I14" s="70">
        <f>IF(H14=0,0,G14/H14)</f>
        <v/>
      </c>
      <c r="J14" s="45" t="inlineStr"/>
    </row>
    <row r="15" ht="16" customHeight="1">
      <c r="A15" s="47" t="inlineStr"/>
      <c r="B15" s="47" t="inlineStr"/>
      <c r="C15" s="47" t="inlineStr"/>
      <c r="D15" s="24" t="inlineStr"/>
      <c r="E15" s="71" t="inlineStr"/>
      <c r="F15" s="71" t="inlineStr"/>
      <c r="G15" s="72">
        <f>E15-F15</f>
        <v/>
      </c>
      <c r="H15" s="24" t="inlineStr"/>
      <c r="I15" s="72">
        <f>IF(H15=0,0,G15/H15)</f>
        <v/>
      </c>
      <c r="J15" s="47" t="inlineStr"/>
    </row>
    <row r="16" ht="16" customHeight="1">
      <c r="A16" s="45" t="inlineStr"/>
      <c r="B16" s="45" t="inlineStr"/>
      <c r="C16" s="45" t="inlineStr"/>
      <c r="D16" s="20" t="inlineStr"/>
      <c r="E16" s="69" t="inlineStr"/>
      <c r="F16" s="69" t="inlineStr"/>
      <c r="G16" s="70">
        <f>E16-F16</f>
        <v/>
      </c>
      <c r="H16" s="20" t="inlineStr"/>
      <c r="I16" s="70">
        <f>IF(H16=0,0,G16/H16)</f>
        <v/>
      </c>
      <c r="J16" s="45" t="inlineStr"/>
    </row>
    <row r="17" ht="16" customHeight="1">
      <c r="A17" s="47" t="inlineStr"/>
      <c r="B17" s="47" t="inlineStr"/>
      <c r="C17" s="47" t="inlineStr"/>
      <c r="D17" s="24" t="inlineStr"/>
      <c r="E17" s="71" t="inlineStr"/>
      <c r="F17" s="71" t="inlineStr"/>
      <c r="G17" s="72">
        <f>E17-F17</f>
        <v/>
      </c>
      <c r="H17" s="24" t="inlineStr"/>
      <c r="I17" s="72">
        <f>IF(H17=0,0,G17/H17)</f>
        <v/>
      </c>
      <c r="J17" s="47" t="inlineStr"/>
    </row>
    <row r="18" ht="16" customHeight="1">
      <c r="A18" s="45" t="inlineStr"/>
      <c r="B18" s="45" t="inlineStr"/>
      <c r="C18" s="45" t="inlineStr"/>
      <c r="D18" s="20" t="inlineStr"/>
      <c r="E18" s="69" t="inlineStr"/>
      <c r="F18" s="69" t="inlineStr"/>
      <c r="G18" s="70">
        <f>E18-F18</f>
        <v/>
      </c>
      <c r="H18" s="20" t="inlineStr"/>
      <c r="I18" s="70">
        <f>IF(H18=0,0,G18/H18)</f>
        <v/>
      </c>
      <c r="J18" s="45" t="inlineStr"/>
    </row>
    <row r="19" ht="16" customHeight="1">
      <c r="A19" s="47" t="inlineStr"/>
      <c r="B19" s="47" t="inlineStr"/>
      <c r="C19" s="47" t="inlineStr"/>
      <c r="D19" s="24" t="inlineStr"/>
      <c r="E19" s="71" t="inlineStr"/>
      <c r="F19" s="71" t="inlineStr"/>
      <c r="G19" s="72">
        <f>E19-F19</f>
        <v/>
      </c>
      <c r="H19" s="24" t="inlineStr"/>
      <c r="I19" s="72">
        <f>IF(H19=0,0,G19/H19)</f>
        <v/>
      </c>
      <c r="J19" s="47" t="inlineStr"/>
    </row>
    <row r="20" ht="16" customHeight="1">
      <c r="A20" s="45" t="inlineStr"/>
      <c r="B20" s="45" t="inlineStr"/>
      <c r="C20" s="45" t="inlineStr"/>
      <c r="D20" s="20" t="inlineStr"/>
      <c r="E20" s="69" t="inlineStr"/>
      <c r="F20" s="69" t="inlineStr"/>
      <c r="G20" s="70">
        <f>E20-F20</f>
        <v/>
      </c>
      <c r="H20" s="20" t="inlineStr"/>
      <c r="I20" s="70">
        <f>IF(H20=0,0,G20/H20)</f>
        <v/>
      </c>
      <c r="J20" s="45" t="inlineStr"/>
    </row>
    <row r="21" ht="16" customHeight="1">
      <c r="A21" s="47" t="inlineStr"/>
      <c r="B21" s="47" t="inlineStr"/>
      <c r="C21" s="47" t="inlineStr"/>
      <c r="D21" s="24" t="inlineStr"/>
      <c r="E21" s="71" t="inlineStr"/>
      <c r="F21" s="71" t="inlineStr"/>
      <c r="G21" s="72">
        <f>E21-F21</f>
        <v/>
      </c>
      <c r="H21" s="24" t="inlineStr"/>
      <c r="I21" s="72">
        <f>IF(H21=0,0,G21/H21)</f>
        <v/>
      </c>
      <c r="J21" s="47" t="inlineStr"/>
    </row>
    <row r="22" ht="16" customHeight="1">
      <c r="A22" s="45" t="inlineStr"/>
      <c r="B22" s="45" t="inlineStr"/>
      <c r="C22" s="45" t="inlineStr"/>
      <c r="D22" s="20" t="inlineStr"/>
      <c r="E22" s="69" t="inlineStr"/>
      <c r="F22" s="69" t="inlineStr"/>
      <c r="G22" s="70">
        <f>E22-F22</f>
        <v/>
      </c>
      <c r="H22" s="20" t="inlineStr"/>
      <c r="I22" s="70">
        <f>IF(H22=0,0,G22/H22)</f>
        <v/>
      </c>
      <c r="J22" s="45" t="inlineStr"/>
    </row>
    <row r="23" ht="16" customHeight="1">
      <c r="A23" s="47" t="inlineStr"/>
      <c r="B23" s="47" t="inlineStr"/>
      <c r="C23" s="47" t="inlineStr"/>
      <c r="D23" s="24" t="inlineStr"/>
      <c r="E23" s="71" t="inlineStr"/>
      <c r="F23" s="71" t="inlineStr"/>
      <c r="G23" s="72">
        <f>E23-F23</f>
        <v/>
      </c>
      <c r="H23" s="24" t="inlineStr"/>
      <c r="I23" s="72">
        <f>IF(H23=0,0,G23/H23)</f>
        <v/>
      </c>
      <c r="J23" s="47" t="inlineStr"/>
    </row>
    <row r="24" ht="16" customHeight="1">
      <c r="A24" s="45" t="inlineStr"/>
      <c r="B24" s="45" t="inlineStr"/>
      <c r="C24" s="45" t="inlineStr"/>
      <c r="D24" s="20" t="inlineStr"/>
      <c r="E24" s="69" t="inlineStr"/>
      <c r="F24" s="69" t="inlineStr"/>
      <c r="G24" s="70">
        <f>E24-F24</f>
        <v/>
      </c>
      <c r="H24" s="20" t="inlineStr"/>
      <c r="I24" s="70">
        <f>IF(H24=0,0,G24/H24)</f>
        <v/>
      </c>
      <c r="J24" s="45" t="inlineStr"/>
    </row>
    <row r="25" ht="16" customHeight="1">
      <c r="A25" s="47" t="inlineStr"/>
      <c r="B25" s="47" t="inlineStr"/>
      <c r="C25" s="47" t="inlineStr"/>
      <c r="D25" s="24" t="inlineStr"/>
      <c r="E25" s="71" t="inlineStr"/>
      <c r="F25" s="71" t="inlineStr"/>
      <c r="G25" s="72">
        <f>E25-F25</f>
        <v/>
      </c>
      <c r="H25" s="24" t="inlineStr"/>
      <c r="I25" s="72">
        <f>IF(H25=0,0,G25/H25)</f>
        <v/>
      </c>
      <c r="J25" s="47" t="inlineStr"/>
    </row>
    <row r="26" ht="16" customHeight="1">
      <c r="A26" s="45" t="inlineStr"/>
      <c r="B26" s="45" t="inlineStr"/>
      <c r="C26" s="45" t="inlineStr"/>
      <c r="D26" s="20" t="inlineStr"/>
      <c r="E26" s="69" t="inlineStr"/>
      <c r="F26" s="69" t="inlineStr"/>
      <c r="G26" s="70">
        <f>E26-F26</f>
        <v/>
      </c>
      <c r="H26" s="20" t="inlineStr"/>
      <c r="I26" s="70">
        <f>IF(H26=0,0,G26/H26)</f>
        <v/>
      </c>
      <c r="J26" s="45" t="inlineStr"/>
    </row>
    <row r="27" ht="16" customHeight="1">
      <c r="A27" s="47" t="inlineStr"/>
      <c r="B27" s="47" t="inlineStr"/>
      <c r="C27" s="47" t="inlineStr"/>
      <c r="D27" s="24" t="inlineStr"/>
      <c r="E27" s="71" t="inlineStr"/>
      <c r="F27" s="71" t="inlineStr"/>
      <c r="G27" s="72">
        <f>E27-F27</f>
        <v/>
      </c>
      <c r="H27" s="24" t="inlineStr"/>
      <c r="I27" s="72">
        <f>IF(H27=0,0,G27/H27)</f>
        <v/>
      </c>
      <c r="J27" s="47" t="inlineStr"/>
    </row>
    <row r="28" ht="16" customHeight="1">
      <c r="A28" s="45" t="inlineStr"/>
      <c r="B28" s="45" t="inlineStr"/>
      <c r="C28" s="45" t="inlineStr"/>
      <c r="D28" s="20" t="inlineStr"/>
      <c r="E28" s="69" t="inlineStr"/>
      <c r="F28" s="69" t="inlineStr"/>
      <c r="G28" s="70">
        <f>E28-F28</f>
        <v/>
      </c>
      <c r="H28" s="20" t="inlineStr"/>
      <c r="I28" s="70">
        <f>IF(H28=0,0,G28/H28)</f>
        <v/>
      </c>
      <c r="J28" s="45" t="inlineStr"/>
    </row>
    <row r="29" ht="16" customHeight="1">
      <c r="A29" s="47" t="inlineStr"/>
      <c r="B29" s="47" t="inlineStr"/>
      <c r="C29" s="47" t="inlineStr"/>
      <c r="D29" s="24" t="inlineStr"/>
      <c r="E29" s="71" t="inlineStr"/>
      <c r="F29" s="71" t="inlineStr"/>
      <c r="G29" s="72">
        <f>E29-F29</f>
        <v/>
      </c>
      <c r="H29" s="24" t="inlineStr"/>
      <c r="I29" s="72">
        <f>IF(H29=0,0,G29/H29)</f>
        <v/>
      </c>
      <c r="J29" s="47" t="inlineStr"/>
    </row>
    <row r="30">
      <c r="A30" s="31" t="inlineStr">
        <is>
          <t>SEASON TOTAL</t>
        </is>
      </c>
      <c r="B30" s="7" t="n"/>
      <c r="C30" s="8" t="n"/>
      <c r="D30" s="73">
        <f>SUM(D5:D29)</f>
        <v/>
      </c>
      <c r="E30" s="40">
        <f>SUM(E5:E29)</f>
        <v/>
      </c>
      <c r="F30" s="40">
        <f>SUM(F5:F29)</f>
        <v/>
      </c>
      <c r="G30" s="40">
        <f>SUM(G5:G29)</f>
        <v/>
      </c>
      <c r="H30" s="73">
        <f>SUM(H5:H29)</f>
        <v/>
      </c>
      <c r="I30" s="40">
        <f>IF(H30=0,0,G30/H30)</f>
        <v/>
      </c>
      <c r="J30" s="32" t="inlineStr"/>
    </row>
  </sheetData>
  <mergeCells count="3">
    <mergeCell ref="A1:J1"/>
    <mergeCell ref="A30:C30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12" customWidth="1" min="9" max="9"/>
    <col width="10" customWidth="1" min="10" max="10"/>
  </cols>
  <sheetData>
    <row r="1" ht="30" customHeight="1">
      <c r="A1" s="1" t="inlineStr">
        <is>
          <t>Inventory &amp; Stock Replenishment</t>
        </is>
      </c>
    </row>
    <row r="2" ht="20" customHeight="1">
      <c r="A2" s="2" t="inlineStr">
        <is>
          <t>SKU-level daily reconciliation per pop-up. Closing = Opening + Received − Sold − Damaged.</t>
        </is>
      </c>
    </row>
    <row r="4">
      <c r="A4" s="12" t="inlineStr">
        <is>
          <t>Date</t>
        </is>
      </c>
      <c r="B4" s="12" t="inlineStr">
        <is>
          <t>Pop-up ID</t>
        </is>
      </c>
      <c r="C4" s="12" t="inlineStr">
        <is>
          <t>SKU / Product</t>
        </is>
      </c>
      <c r="D4" s="12" t="inlineStr">
        <is>
          <t>Opening</t>
        </is>
      </c>
      <c r="E4" s="12" t="inlineStr">
        <is>
          <t>Received</t>
        </is>
      </c>
      <c r="F4" s="12" t="inlineStr">
        <is>
          <t>Sold</t>
        </is>
      </c>
      <c r="G4" s="12" t="inlineStr">
        <is>
          <t>Damaged</t>
        </is>
      </c>
      <c r="H4" s="12" t="inlineStr">
        <is>
          <t>Closing</t>
        </is>
      </c>
      <c r="I4" s="12" t="inlineStr">
        <is>
          <t>Reorder Level</t>
        </is>
      </c>
      <c r="J4" s="12" t="inlineStr">
        <is>
          <t>Reorder?</t>
        </is>
      </c>
    </row>
    <row r="5">
      <c r="A5" s="57" t="inlineStr">
        <is>
          <t>2026-10-15</t>
        </is>
      </c>
      <c r="B5" s="58" t="inlineStr">
        <is>
          <t>DEL-01</t>
        </is>
      </c>
      <c r="C5" s="58" t="inlineStr">
        <is>
          <t>Rose Petal 200g</t>
        </is>
      </c>
      <c r="D5" s="58" t="n">
        <v>60</v>
      </c>
      <c r="E5" s="58" t="n">
        <v>24</v>
      </c>
      <c r="F5" s="58" t="n">
        <v>42</v>
      </c>
      <c r="G5" s="58" t="n">
        <v>0</v>
      </c>
      <c r="H5" s="60">
        <f>D5+E5-F5-G5</f>
        <v/>
      </c>
      <c r="I5" s="58" t="n">
        <v>20</v>
      </c>
      <c r="J5" s="60">
        <f>IF(H5&lt;=I5,"REORDER","OK")</f>
        <v/>
      </c>
    </row>
    <row r="6" ht="16" customHeight="1">
      <c r="A6" s="45" t="inlineStr"/>
      <c r="B6" s="45" t="inlineStr"/>
      <c r="C6" s="45" t="inlineStr"/>
      <c r="D6" s="45" t="inlineStr"/>
      <c r="E6" s="45" t="inlineStr"/>
      <c r="F6" s="45" t="inlineStr"/>
      <c r="G6" s="45" t="inlineStr"/>
      <c r="H6" s="20">
        <f>D6+E6-F6-G6</f>
        <v/>
      </c>
      <c r="I6" s="45" t="inlineStr"/>
      <c r="J6" s="20">
        <f>IF(H6&lt;=I6,"REORDER","OK")</f>
        <v/>
      </c>
    </row>
    <row r="7" ht="16" customHeight="1">
      <c r="A7" s="47" t="inlineStr"/>
      <c r="B7" s="47" t="inlineStr"/>
      <c r="C7" s="47" t="inlineStr"/>
      <c r="D7" s="47" t="inlineStr"/>
      <c r="E7" s="47" t="inlineStr"/>
      <c r="F7" s="47" t="inlineStr"/>
      <c r="G7" s="47" t="inlineStr"/>
      <c r="H7" s="24">
        <f>D7+E7-F7-G7</f>
        <v/>
      </c>
      <c r="I7" s="47" t="inlineStr"/>
      <c r="J7" s="24">
        <f>IF(H7&lt;=I7,"REORDER","OK")</f>
        <v/>
      </c>
    </row>
    <row r="8" ht="16" customHeight="1">
      <c r="A8" s="45" t="inlineStr"/>
      <c r="B8" s="45" t="inlineStr"/>
      <c r="C8" s="45" t="inlineStr"/>
      <c r="D8" s="45" t="inlineStr"/>
      <c r="E8" s="45" t="inlineStr"/>
      <c r="F8" s="45" t="inlineStr"/>
      <c r="G8" s="45" t="inlineStr"/>
      <c r="H8" s="20">
        <f>D8+E8-F8-G8</f>
        <v/>
      </c>
      <c r="I8" s="45" t="inlineStr"/>
      <c r="J8" s="20">
        <f>IF(H8&lt;=I8,"REORDER","OK")</f>
        <v/>
      </c>
    </row>
    <row r="9" ht="16" customHeight="1">
      <c r="A9" s="47" t="inlineStr"/>
      <c r="B9" s="47" t="inlineStr"/>
      <c r="C9" s="47" t="inlineStr"/>
      <c r="D9" s="47" t="inlineStr"/>
      <c r="E9" s="47" t="inlineStr"/>
      <c r="F9" s="47" t="inlineStr"/>
      <c r="G9" s="47" t="inlineStr"/>
      <c r="H9" s="24">
        <f>D9+E9-F9-G9</f>
        <v/>
      </c>
      <c r="I9" s="47" t="inlineStr"/>
      <c r="J9" s="24">
        <f>IF(H9&lt;=I9,"REORDER","OK")</f>
        <v/>
      </c>
    </row>
    <row r="10" ht="16" customHeight="1">
      <c r="A10" s="45" t="inlineStr"/>
      <c r="B10" s="45" t="inlineStr"/>
      <c r="C10" s="45" t="inlineStr"/>
      <c r="D10" s="45" t="inlineStr"/>
      <c r="E10" s="45" t="inlineStr"/>
      <c r="F10" s="45" t="inlineStr"/>
      <c r="G10" s="45" t="inlineStr"/>
      <c r="H10" s="20">
        <f>D10+E10-F10-G10</f>
        <v/>
      </c>
      <c r="I10" s="45" t="inlineStr"/>
      <c r="J10" s="20">
        <f>IF(H10&lt;=I10,"REORDER","OK")</f>
        <v/>
      </c>
    </row>
    <row r="11" ht="16" customHeight="1">
      <c r="A11" s="47" t="inlineStr"/>
      <c r="B11" s="47" t="inlineStr"/>
      <c r="C11" s="47" t="inlineStr"/>
      <c r="D11" s="47" t="inlineStr"/>
      <c r="E11" s="47" t="inlineStr"/>
      <c r="F11" s="47" t="inlineStr"/>
      <c r="G11" s="47" t="inlineStr"/>
      <c r="H11" s="24">
        <f>D11+E11-F11-G11</f>
        <v/>
      </c>
      <c r="I11" s="47" t="inlineStr"/>
      <c r="J11" s="24">
        <f>IF(H11&lt;=I11,"REORDER","OK")</f>
        <v/>
      </c>
    </row>
    <row r="12" ht="16" customHeight="1">
      <c r="A12" s="45" t="inlineStr"/>
      <c r="B12" s="45" t="inlineStr"/>
      <c r="C12" s="45" t="inlineStr"/>
      <c r="D12" s="45" t="inlineStr"/>
      <c r="E12" s="45" t="inlineStr"/>
      <c r="F12" s="45" t="inlineStr"/>
      <c r="G12" s="45" t="inlineStr"/>
      <c r="H12" s="20">
        <f>D12+E12-F12-G12</f>
        <v/>
      </c>
      <c r="I12" s="45" t="inlineStr"/>
      <c r="J12" s="20">
        <f>IF(H12&lt;=I12,"REORDER","OK")</f>
        <v/>
      </c>
    </row>
    <row r="13" ht="16" customHeight="1">
      <c r="A13" s="47" t="inlineStr"/>
      <c r="B13" s="47" t="inlineStr"/>
      <c r="C13" s="47" t="inlineStr"/>
      <c r="D13" s="47" t="inlineStr"/>
      <c r="E13" s="47" t="inlineStr"/>
      <c r="F13" s="47" t="inlineStr"/>
      <c r="G13" s="47" t="inlineStr"/>
      <c r="H13" s="24">
        <f>D13+E13-F13-G13</f>
        <v/>
      </c>
      <c r="I13" s="47" t="inlineStr"/>
      <c r="J13" s="24">
        <f>IF(H13&lt;=I13,"REORDER","OK")</f>
        <v/>
      </c>
    </row>
    <row r="14" ht="16" customHeight="1">
      <c r="A14" s="45" t="inlineStr"/>
      <c r="B14" s="45" t="inlineStr"/>
      <c r="C14" s="45" t="inlineStr"/>
      <c r="D14" s="45" t="inlineStr"/>
      <c r="E14" s="45" t="inlineStr"/>
      <c r="F14" s="45" t="inlineStr"/>
      <c r="G14" s="45" t="inlineStr"/>
      <c r="H14" s="20">
        <f>D14+E14-F14-G14</f>
        <v/>
      </c>
      <c r="I14" s="45" t="inlineStr"/>
      <c r="J14" s="20">
        <f>IF(H14&lt;=I14,"REORDER","OK")</f>
        <v/>
      </c>
    </row>
    <row r="15" ht="16" customHeight="1">
      <c r="A15" s="47" t="inlineStr"/>
      <c r="B15" s="47" t="inlineStr"/>
      <c r="C15" s="47" t="inlineStr"/>
      <c r="D15" s="47" t="inlineStr"/>
      <c r="E15" s="47" t="inlineStr"/>
      <c r="F15" s="47" t="inlineStr"/>
      <c r="G15" s="47" t="inlineStr"/>
      <c r="H15" s="24">
        <f>D15+E15-F15-G15</f>
        <v/>
      </c>
      <c r="I15" s="47" t="inlineStr"/>
      <c r="J15" s="24">
        <f>IF(H15&lt;=I15,"REORDER","OK")</f>
        <v/>
      </c>
    </row>
    <row r="16" ht="16" customHeight="1">
      <c r="A16" s="45" t="inlineStr"/>
      <c r="B16" s="45" t="inlineStr"/>
      <c r="C16" s="45" t="inlineStr"/>
      <c r="D16" s="45" t="inlineStr"/>
      <c r="E16" s="45" t="inlineStr"/>
      <c r="F16" s="45" t="inlineStr"/>
      <c r="G16" s="45" t="inlineStr"/>
      <c r="H16" s="20">
        <f>D16+E16-F16-G16</f>
        <v/>
      </c>
      <c r="I16" s="45" t="inlineStr"/>
      <c r="J16" s="20">
        <f>IF(H16&lt;=I16,"REORDER","OK")</f>
        <v/>
      </c>
    </row>
    <row r="17" ht="16" customHeight="1">
      <c r="A17" s="47" t="inlineStr"/>
      <c r="B17" s="47" t="inlineStr"/>
      <c r="C17" s="47" t="inlineStr"/>
      <c r="D17" s="47" t="inlineStr"/>
      <c r="E17" s="47" t="inlineStr"/>
      <c r="F17" s="47" t="inlineStr"/>
      <c r="G17" s="47" t="inlineStr"/>
      <c r="H17" s="24">
        <f>D17+E17-F17-G17</f>
        <v/>
      </c>
      <c r="I17" s="47" t="inlineStr"/>
      <c r="J17" s="24">
        <f>IF(H17&lt;=I17,"REORDER","OK")</f>
        <v/>
      </c>
    </row>
    <row r="18" ht="16" customHeight="1">
      <c r="A18" s="45" t="inlineStr"/>
      <c r="B18" s="45" t="inlineStr"/>
      <c r="C18" s="45" t="inlineStr"/>
      <c r="D18" s="45" t="inlineStr"/>
      <c r="E18" s="45" t="inlineStr"/>
      <c r="F18" s="45" t="inlineStr"/>
      <c r="G18" s="45" t="inlineStr"/>
      <c r="H18" s="20">
        <f>D18+E18-F18-G18</f>
        <v/>
      </c>
      <c r="I18" s="45" t="inlineStr"/>
      <c r="J18" s="20">
        <f>IF(H18&lt;=I18,"REORDER","OK")</f>
        <v/>
      </c>
    </row>
    <row r="19" ht="16" customHeight="1">
      <c r="A19" s="47" t="inlineStr"/>
      <c r="B19" s="47" t="inlineStr"/>
      <c r="C19" s="47" t="inlineStr"/>
      <c r="D19" s="47" t="inlineStr"/>
      <c r="E19" s="47" t="inlineStr"/>
      <c r="F19" s="47" t="inlineStr"/>
      <c r="G19" s="47" t="inlineStr"/>
      <c r="H19" s="24">
        <f>D19+E19-F19-G19</f>
        <v/>
      </c>
      <c r="I19" s="47" t="inlineStr"/>
      <c r="J19" s="24">
        <f>IF(H19&lt;=I19,"REORDER","OK")</f>
        <v/>
      </c>
    </row>
    <row r="20" ht="16" customHeight="1">
      <c r="A20" s="45" t="inlineStr"/>
      <c r="B20" s="45" t="inlineStr"/>
      <c r="C20" s="45" t="inlineStr"/>
      <c r="D20" s="45" t="inlineStr"/>
      <c r="E20" s="45" t="inlineStr"/>
      <c r="F20" s="45" t="inlineStr"/>
      <c r="G20" s="45" t="inlineStr"/>
      <c r="H20" s="20">
        <f>D20+E20-F20-G20</f>
        <v/>
      </c>
      <c r="I20" s="45" t="inlineStr"/>
      <c r="J20" s="20">
        <f>IF(H20&lt;=I20,"REORDER","OK")</f>
        <v/>
      </c>
    </row>
    <row r="21" ht="16" customHeight="1">
      <c r="A21" s="47" t="inlineStr"/>
      <c r="B21" s="47" t="inlineStr"/>
      <c r="C21" s="47" t="inlineStr"/>
      <c r="D21" s="47" t="inlineStr"/>
      <c r="E21" s="47" t="inlineStr"/>
      <c r="F21" s="47" t="inlineStr"/>
      <c r="G21" s="47" t="inlineStr"/>
      <c r="H21" s="24">
        <f>D21+E21-F21-G21</f>
        <v/>
      </c>
      <c r="I21" s="47" t="inlineStr"/>
      <c r="J21" s="24">
        <f>IF(H21&lt;=I21,"REORDER","OK")</f>
        <v/>
      </c>
    </row>
    <row r="22" ht="16" customHeight="1">
      <c r="A22" s="45" t="inlineStr"/>
      <c r="B22" s="45" t="inlineStr"/>
      <c r="C22" s="45" t="inlineStr"/>
      <c r="D22" s="45" t="inlineStr"/>
      <c r="E22" s="45" t="inlineStr"/>
      <c r="F22" s="45" t="inlineStr"/>
      <c r="G22" s="45" t="inlineStr"/>
      <c r="H22" s="20">
        <f>D22+E22-F22-G22</f>
        <v/>
      </c>
      <c r="I22" s="45" t="inlineStr"/>
      <c r="J22" s="20">
        <f>IF(H22&lt;=I22,"REORDER","OK")</f>
        <v/>
      </c>
    </row>
    <row r="23" ht="16" customHeight="1">
      <c r="A23" s="47" t="inlineStr"/>
      <c r="B23" s="47" t="inlineStr"/>
      <c r="C23" s="47" t="inlineStr"/>
      <c r="D23" s="47" t="inlineStr"/>
      <c r="E23" s="47" t="inlineStr"/>
      <c r="F23" s="47" t="inlineStr"/>
      <c r="G23" s="47" t="inlineStr"/>
      <c r="H23" s="24">
        <f>D23+E23-F23-G23</f>
        <v/>
      </c>
      <c r="I23" s="47" t="inlineStr"/>
      <c r="J23" s="24">
        <f>IF(H23&lt;=I23,"REORDER","OK")</f>
        <v/>
      </c>
    </row>
    <row r="24" ht="16" customHeight="1">
      <c r="A24" s="45" t="inlineStr"/>
      <c r="B24" s="45" t="inlineStr"/>
      <c r="C24" s="45" t="inlineStr"/>
      <c r="D24" s="45" t="inlineStr"/>
      <c r="E24" s="45" t="inlineStr"/>
      <c r="F24" s="45" t="inlineStr"/>
      <c r="G24" s="45" t="inlineStr"/>
      <c r="H24" s="20">
        <f>D24+E24-F24-G24</f>
        <v/>
      </c>
      <c r="I24" s="45" t="inlineStr"/>
      <c r="J24" s="20">
        <f>IF(H24&lt;=I24,"REORDER","OK")</f>
        <v/>
      </c>
    </row>
    <row r="25" ht="16" customHeight="1">
      <c r="A25" s="47" t="inlineStr"/>
      <c r="B25" s="47" t="inlineStr"/>
      <c r="C25" s="47" t="inlineStr"/>
      <c r="D25" s="47" t="inlineStr"/>
      <c r="E25" s="47" t="inlineStr"/>
      <c r="F25" s="47" t="inlineStr"/>
      <c r="G25" s="47" t="inlineStr"/>
      <c r="H25" s="24">
        <f>D25+E25-F25-G25</f>
        <v/>
      </c>
      <c r="I25" s="47" t="inlineStr"/>
      <c r="J25" s="24">
        <f>IF(H25&lt;=I25,"REORDER","OK")</f>
        <v/>
      </c>
    </row>
    <row r="26" ht="16" customHeight="1">
      <c r="A26" s="45" t="inlineStr"/>
      <c r="B26" s="45" t="inlineStr"/>
      <c r="C26" s="45" t="inlineStr"/>
      <c r="D26" s="45" t="inlineStr"/>
      <c r="E26" s="45" t="inlineStr"/>
      <c r="F26" s="45" t="inlineStr"/>
      <c r="G26" s="45" t="inlineStr"/>
      <c r="H26" s="20">
        <f>D26+E26-F26-G26</f>
        <v/>
      </c>
      <c r="I26" s="45" t="inlineStr"/>
      <c r="J26" s="20">
        <f>IF(H26&lt;=I26,"REORDER","OK")</f>
        <v/>
      </c>
    </row>
    <row r="27" ht="16" customHeight="1">
      <c r="A27" s="47" t="inlineStr"/>
      <c r="B27" s="47" t="inlineStr"/>
      <c r="C27" s="47" t="inlineStr"/>
      <c r="D27" s="47" t="inlineStr"/>
      <c r="E27" s="47" t="inlineStr"/>
      <c r="F27" s="47" t="inlineStr"/>
      <c r="G27" s="47" t="inlineStr"/>
      <c r="H27" s="24">
        <f>D27+E27-F27-G27</f>
        <v/>
      </c>
      <c r="I27" s="47" t="inlineStr"/>
      <c r="J27" s="24">
        <f>IF(H27&lt;=I27,"REORDER","OK")</f>
        <v/>
      </c>
    </row>
    <row r="28" ht="16" customHeight="1">
      <c r="A28" s="45" t="inlineStr"/>
      <c r="B28" s="45" t="inlineStr"/>
      <c r="C28" s="45" t="inlineStr"/>
      <c r="D28" s="45" t="inlineStr"/>
      <c r="E28" s="45" t="inlineStr"/>
      <c r="F28" s="45" t="inlineStr"/>
      <c r="G28" s="45" t="inlineStr"/>
      <c r="H28" s="20">
        <f>D28+E28-F28-G28</f>
        <v/>
      </c>
      <c r="I28" s="45" t="inlineStr"/>
      <c r="J28" s="20">
        <f>IF(H28&lt;=I28,"REORDER","OK")</f>
        <v/>
      </c>
    </row>
    <row r="29" ht="16" customHeight="1">
      <c r="A29" s="47" t="inlineStr"/>
      <c r="B29" s="47" t="inlineStr"/>
      <c r="C29" s="47" t="inlineStr"/>
      <c r="D29" s="47" t="inlineStr"/>
      <c r="E29" s="47" t="inlineStr"/>
      <c r="F29" s="47" t="inlineStr"/>
      <c r="G29" s="47" t="inlineStr"/>
      <c r="H29" s="24">
        <f>D29+E29-F29-G29</f>
        <v/>
      </c>
      <c r="I29" s="47" t="inlineStr"/>
      <c r="J29" s="24">
        <f>IF(H29&lt;=I29,"REORDER","OK")</f>
        <v/>
      </c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8" customWidth="1" min="6" max="6"/>
    <col width="13" customWidth="1" min="7" max="7"/>
    <col width="14" customWidth="1" min="8" max="8"/>
  </cols>
  <sheetData>
    <row r="1" ht="30" customHeight="1">
      <c r="A1" s="1" t="inlineStr">
        <is>
          <t>Footfall &amp; Conversion</t>
        </is>
      </c>
    </row>
    <row r="2" ht="20" customHeight="1">
      <c r="A2" s="2" t="inlineStr">
        <is>
          <t>Daily footfall vs bills. Conversion = Bills / Footfall.</t>
        </is>
      </c>
    </row>
    <row r="4">
      <c r="A4" s="12" t="inlineStr">
        <is>
          <t>Date</t>
        </is>
      </c>
      <c r="B4" s="12" t="inlineStr">
        <is>
          <t>City</t>
        </is>
      </c>
      <c r="C4" s="12" t="inlineStr">
        <is>
          <t>Pop-up ID</t>
        </is>
      </c>
      <c r="D4" s="12" t="inlineStr">
        <is>
          <t>Footfall</t>
        </is>
      </c>
      <c r="E4" s="12" t="inlineStr">
        <is>
          <t>Walk-ins Engaged</t>
        </is>
      </c>
      <c r="F4" s="12" t="inlineStr">
        <is>
          <t>Bills</t>
        </is>
      </c>
      <c r="G4" s="12" t="inlineStr">
        <is>
          <t>Conversion %</t>
        </is>
      </c>
      <c r="H4" s="12" t="inlineStr">
        <is>
          <t>Reported By</t>
        </is>
      </c>
    </row>
    <row r="5">
      <c r="A5" s="59" t="inlineStr">
        <is>
          <t>2026-10-15</t>
        </is>
      </c>
      <c r="B5" s="59" t="inlineStr">
        <is>
          <t>Delhi</t>
        </is>
      </c>
      <c r="C5" s="59" t="inlineStr">
        <is>
          <t>DEL-01</t>
        </is>
      </c>
      <c r="D5" s="60" t="n">
        <v>520</v>
      </c>
      <c r="E5" s="60" t="n">
        <v>180</v>
      </c>
      <c r="F5" s="60" t="n">
        <v>38</v>
      </c>
      <c r="G5" s="74">
        <f>IF(D5=0,0,F5/D5)</f>
        <v/>
      </c>
      <c r="H5" s="59" t="inlineStr">
        <is>
          <t>R. Verma</t>
        </is>
      </c>
    </row>
    <row r="6" ht="16" customHeight="1">
      <c r="A6" s="45" t="inlineStr"/>
      <c r="B6" s="45" t="inlineStr"/>
      <c r="C6" s="45" t="inlineStr"/>
      <c r="D6" s="20" t="inlineStr"/>
      <c r="E6" s="20" t="inlineStr"/>
      <c r="F6" s="20" t="inlineStr"/>
      <c r="G6" s="64">
        <f>IF(D6=0,0,F6/D6)</f>
        <v/>
      </c>
      <c r="H6" s="45" t="inlineStr"/>
    </row>
    <row r="7" ht="16" customHeight="1">
      <c r="A7" s="47" t="inlineStr"/>
      <c r="B7" s="47" t="inlineStr"/>
      <c r="C7" s="47" t="inlineStr"/>
      <c r="D7" s="24" t="inlineStr"/>
      <c r="E7" s="24" t="inlineStr"/>
      <c r="F7" s="24" t="inlineStr"/>
      <c r="G7" s="66">
        <f>IF(D7=0,0,F7/D7)</f>
        <v/>
      </c>
      <c r="H7" s="47" t="inlineStr"/>
    </row>
    <row r="8" ht="16" customHeight="1">
      <c r="A8" s="45" t="inlineStr"/>
      <c r="B8" s="45" t="inlineStr"/>
      <c r="C8" s="45" t="inlineStr"/>
      <c r="D8" s="20" t="inlineStr"/>
      <c r="E8" s="20" t="inlineStr"/>
      <c r="F8" s="20" t="inlineStr"/>
      <c r="G8" s="64">
        <f>IF(D8=0,0,F8/D8)</f>
        <v/>
      </c>
      <c r="H8" s="45" t="inlineStr"/>
    </row>
    <row r="9" ht="16" customHeight="1">
      <c r="A9" s="47" t="inlineStr"/>
      <c r="B9" s="47" t="inlineStr"/>
      <c r="C9" s="47" t="inlineStr"/>
      <c r="D9" s="24" t="inlineStr"/>
      <c r="E9" s="24" t="inlineStr"/>
      <c r="F9" s="24" t="inlineStr"/>
      <c r="G9" s="66">
        <f>IF(D9=0,0,F9/D9)</f>
        <v/>
      </c>
      <c r="H9" s="47" t="inlineStr"/>
    </row>
    <row r="10" ht="16" customHeight="1">
      <c r="A10" s="45" t="inlineStr"/>
      <c r="B10" s="45" t="inlineStr"/>
      <c r="C10" s="45" t="inlineStr"/>
      <c r="D10" s="20" t="inlineStr"/>
      <c r="E10" s="20" t="inlineStr"/>
      <c r="F10" s="20" t="inlineStr"/>
      <c r="G10" s="64">
        <f>IF(D10=0,0,F10/D10)</f>
        <v/>
      </c>
      <c r="H10" s="45" t="inlineStr"/>
    </row>
    <row r="11" ht="16" customHeight="1">
      <c r="A11" s="47" t="inlineStr"/>
      <c r="B11" s="47" t="inlineStr"/>
      <c r="C11" s="47" t="inlineStr"/>
      <c r="D11" s="24" t="inlineStr"/>
      <c r="E11" s="24" t="inlineStr"/>
      <c r="F11" s="24" t="inlineStr"/>
      <c r="G11" s="66">
        <f>IF(D11=0,0,F11/D11)</f>
        <v/>
      </c>
      <c r="H11" s="47" t="inlineStr"/>
    </row>
    <row r="12" ht="16" customHeight="1">
      <c r="A12" s="45" t="inlineStr"/>
      <c r="B12" s="45" t="inlineStr"/>
      <c r="C12" s="45" t="inlineStr"/>
      <c r="D12" s="20" t="inlineStr"/>
      <c r="E12" s="20" t="inlineStr"/>
      <c r="F12" s="20" t="inlineStr"/>
      <c r="G12" s="64">
        <f>IF(D12=0,0,F12/D12)</f>
        <v/>
      </c>
      <c r="H12" s="45" t="inlineStr"/>
    </row>
    <row r="13" ht="16" customHeight="1">
      <c r="A13" s="47" t="inlineStr"/>
      <c r="B13" s="47" t="inlineStr"/>
      <c r="C13" s="47" t="inlineStr"/>
      <c r="D13" s="24" t="inlineStr"/>
      <c r="E13" s="24" t="inlineStr"/>
      <c r="F13" s="24" t="inlineStr"/>
      <c r="G13" s="66">
        <f>IF(D13=0,0,F13/D13)</f>
        <v/>
      </c>
      <c r="H13" s="47" t="inlineStr"/>
    </row>
    <row r="14" ht="16" customHeight="1">
      <c r="A14" s="45" t="inlineStr"/>
      <c r="B14" s="45" t="inlineStr"/>
      <c r="C14" s="45" t="inlineStr"/>
      <c r="D14" s="20" t="inlineStr"/>
      <c r="E14" s="20" t="inlineStr"/>
      <c r="F14" s="20" t="inlineStr"/>
      <c r="G14" s="64">
        <f>IF(D14=0,0,F14/D14)</f>
        <v/>
      </c>
      <c r="H14" s="45" t="inlineStr"/>
    </row>
    <row r="15" ht="16" customHeight="1">
      <c r="A15" s="47" t="inlineStr"/>
      <c r="B15" s="47" t="inlineStr"/>
      <c r="C15" s="47" t="inlineStr"/>
      <c r="D15" s="24" t="inlineStr"/>
      <c r="E15" s="24" t="inlineStr"/>
      <c r="F15" s="24" t="inlineStr"/>
      <c r="G15" s="66">
        <f>IF(D15=0,0,F15/D15)</f>
        <v/>
      </c>
      <c r="H15" s="47" t="inlineStr"/>
    </row>
    <row r="16" ht="16" customHeight="1">
      <c r="A16" s="45" t="inlineStr"/>
      <c r="B16" s="45" t="inlineStr"/>
      <c r="C16" s="45" t="inlineStr"/>
      <c r="D16" s="20" t="inlineStr"/>
      <c r="E16" s="20" t="inlineStr"/>
      <c r="F16" s="20" t="inlineStr"/>
      <c r="G16" s="64">
        <f>IF(D16=0,0,F16/D16)</f>
        <v/>
      </c>
      <c r="H16" s="45" t="inlineStr"/>
    </row>
    <row r="17" ht="16" customHeight="1">
      <c r="A17" s="47" t="inlineStr"/>
      <c r="B17" s="47" t="inlineStr"/>
      <c r="C17" s="47" t="inlineStr"/>
      <c r="D17" s="24" t="inlineStr"/>
      <c r="E17" s="24" t="inlineStr"/>
      <c r="F17" s="24" t="inlineStr"/>
      <c r="G17" s="66">
        <f>IF(D17=0,0,F17/D17)</f>
        <v/>
      </c>
      <c r="H17" s="47" t="inlineStr"/>
    </row>
    <row r="18" ht="16" customHeight="1">
      <c r="A18" s="45" t="inlineStr"/>
      <c r="B18" s="45" t="inlineStr"/>
      <c r="C18" s="45" t="inlineStr"/>
      <c r="D18" s="20" t="inlineStr"/>
      <c r="E18" s="20" t="inlineStr"/>
      <c r="F18" s="20" t="inlineStr"/>
      <c r="G18" s="64">
        <f>IF(D18=0,0,F18/D18)</f>
        <v/>
      </c>
      <c r="H18" s="45" t="inlineStr"/>
    </row>
    <row r="19" ht="16" customHeight="1">
      <c r="A19" s="47" t="inlineStr"/>
      <c r="B19" s="47" t="inlineStr"/>
      <c r="C19" s="47" t="inlineStr"/>
      <c r="D19" s="24" t="inlineStr"/>
      <c r="E19" s="24" t="inlineStr"/>
      <c r="F19" s="24" t="inlineStr"/>
      <c r="G19" s="66">
        <f>IF(D19=0,0,F19/D19)</f>
        <v/>
      </c>
      <c r="H19" s="47" t="inlineStr"/>
    </row>
    <row r="20" ht="16" customHeight="1">
      <c r="A20" s="45" t="inlineStr"/>
      <c r="B20" s="45" t="inlineStr"/>
      <c r="C20" s="45" t="inlineStr"/>
      <c r="D20" s="20" t="inlineStr"/>
      <c r="E20" s="20" t="inlineStr"/>
      <c r="F20" s="20" t="inlineStr"/>
      <c r="G20" s="64">
        <f>IF(D20=0,0,F20/D20)</f>
        <v/>
      </c>
      <c r="H20" s="45" t="inlineStr"/>
    </row>
    <row r="21" ht="16" customHeight="1">
      <c r="A21" s="47" t="inlineStr"/>
      <c r="B21" s="47" t="inlineStr"/>
      <c r="C21" s="47" t="inlineStr"/>
      <c r="D21" s="24" t="inlineStr"/>
      <c r="E21" s="24" t="inlineStr"/>
      <c r="F21" s="24" t="inlineStr"/>
      <c r="G21" s="66">
        <f>IF(D21=0,0,F21/D21)</f>
        <v/>
      </c>
      <c r="H21" s="47" t="inlineStr"/>
    </row>
    <row r="22" ht="16" customHeight="1">
      <c r="A22" s="45" t="inlineStr"/>
      <c r="B22" s="45" t="inlineStr"/>
      <c r="C22" s="45" t="inlineStr"/>
      <c r="D22" s="20" t="inlineStr"/>
      <c r="E22" s="20" t="inlineStr"/>
      <c r="F22" s="20" t="inlineStr"/>
      <c r="G22" s="64">
        <f>IF(D22=0,0,F22/D22)</f>
        <v/>
      </c>
      <c r="H22" s="45" t="inlineStr"/>
    </row>
    <row r="23" ht="16" customHeight="1">
      <c r="A23" s="47" t="inlineStr"/>
      <c r="B23" s="47" t="inlineStr"/>
      <c r="C23" s="47" t="inlineStr"/>
      <c r="D23" s="24" t="inlineStr"/>
      <c r="E23" s="24" t="inlineStr"/>
      <c r="F23" s="24" t="inlineStr"/>
      <c r="G23" s="66">
        <f>IF(D23=0,0,F23/D23)</f>
        <v/>
      </c>
      <c r="H23" s="47" t="inlineStr"/>
    </row>
    <row r="24" ht="16" customHeight="1">
      <c r="A24" s="45" t="inlineStr"/>
      <c r="B24" s="45" t="inlineStr"/>
      <c r="C24" s="45" t="inlineStr"/>
      <c r="D24" s="20" t="inlineStr"/>
      <c r="E24" s="20" t="inlineStr"/>
      <c r="F24" s="20" t="inlineStr"/>
      <c r="G24" s="64">
        <f>IF(D24=0,0,F24/D24)</f>
        <v/>
      </c>
      <c r="H24" s="45" t="inlineStr"/>
    </row>
    <row r="25" ht="16" customHeight="1">
      <c r="A25" s="47" t="inlineStr"/>
      <c r="B25" s="47" t="inlineStr"/>
      <c r="C25" s="47" t="inlineStr"/>
      <c r="D25" s="24" t="inlineStr"/>
      <c r="E25" s="24" t="inlineStr"/>
      <c r="F25" s="24" t="inlineStr"/>
      <c r="G25" s="66">
        <f>IF(D25=0,0,F25/D25)</f>
        <v/>
      </c>
      <c r="H25" s="47" t="inlineStr"/>
    </row>
    <row r="26" ht="16" customHeight="1">
      <c r="A26" s="45" t="inlineStr"/>
      <c r="B26" s="45" t="inlineStr"/>
      <c r="C26" s="45" t="inlineStr"/>
      <c r="D26" s="20" t="inlineStr"/>
      <c r="E26" s="20" t="inlineStr"/>
      <c r="F26" s="20" t="inlineStr"/>
      <c r="G26" s="64">
        <f>IF(D26=0,0,F26/D26)</f>
        <v/>
      </c>
      <c r="H26" s="45" t="inlineStr"/>
    </row>
    <row r="27" ht="16" customHeight="1">
      <c r="A27" s="47" t="inlineStr"/>
      <c r="B27" s="47" t="inlineStr"/>
      <c r="C27" s="47" t="inlineStr"/>
      <c r="D27" s="24" t="inlineStr"/>
      <c r="E27" s="24" t="inlineStr"/>
      <c r="F27" s="24" t="inlineStr"/>
      <c r="G27" s="66">
        <f>IF(D27=0,0,F27/D27)</f>
        <v/>
      </c>
      <c r="H27" s="47" t="inlineStr"/>
    </row>
    <row r="28" ht="16" customHeight="1">
      <c r="A28" s="45" t="inlineStr"/>
      <c r="B28" s="45" t="inlineStr"/>
      <c r="C28" s="45" t="inlineStr"/>
      <c r="D28" s="20" t="inlineStr"/>
      <c r="E28" s="20" t="inlineStr"/>
      <c r="F28" s="20" t="inlineStr"/>
      <c r="G28" s="64">
        <f>IF(D28=0,0,F28/D28)</f>
        <v/>
      </c>
      <c r="H28" s="45" t="inlineStr"/>
    </row>
    <row r="29" ht="16" customHeight="1">
      <c r="A29" s="47" t="inlineStr"/>
      <c r="B29" s="47" t="inlineStr"/>
      <c r="C29" s="47" t="inlineStr"/>
      <c r="D29" s="24" t="inlineStr"/>
      <c r="E29" s="24" t="inlineStr"/>
      <c r="F29" s="24" t="inlineStr"/>
      <c r="G29" s="66">
        <f>IF(D29=0,0,F29/D29)</f>
        <v/>
      </c>
      <c r="H29" s="4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1" customWidth="1" min="5" max="5"/>
    <col width="14" customWidth="1" min="6" max="6"/>
    <col width="30" customWidth="1" min="7" max="7"/>
    <col width="26" customWidth="1" min="8" max="8"/>
    <col width="12" customWidth="1" min="9" max="9"/>
  </cols>
  <sheetData>
    <row r="1" ht="30" customHeight="1">
      <c r="A1" s="1" t="inlineStr">
        <is>
          <t>Customer Feedback Log</t>
        </is>
      </c>
    </row>
    <row r="2" ht="20" customHeight="1">
      <c r="A2" s="2" t="inlineStr">
        <is>
          <t>Capture verbatim customer feedback and resolution. Feeds Doft brand &amp; product insights.</t>
        </is>
      </c>
    </row>
    <row r="4">
      <c r="A4" s="12" t="inlineStr">
        <is>
          <t>Date</t>
        </is>
      </c>
      <c r="B4" s="12" t="inlineStr">
        <is>
          <t>City</t>
        </is>
      </c>
      <c r="C4" s="12" t="inlineStr">
        <is>
          <t>Pop-up ID</t>
        </is>
      </c>
      <c r="D4" s="12" t="inlineStr">
        <is>
          <t>Customer</t>
        </is>
      </c>
      <c r="E4" s="12" t="inlineStr">
        <is>
          <t>Rating (1-5)</t>
        </is>
      </c>
      <c r="F4" s="12" t="inlineStr">
        <is>
          <t>Category</t>
        </is>
      </c>
      <c r="G4" s="12" t="inlineStr">
        <is>
          <t>Feedback</t>
        </is>
      </c>
      <c r="H4" s="12" t="inlineStr">
        <is>
          <t>Action Taken</t>
        </is>
      </c>
      <c r="I4" s="12" t="inlineStr">
        <is>
          <t>Status</t>
        </is>
      </c>
    </row>
    <row r="5">
      <c r="A5" s="57" t="inlineStr">
        <is>
          <t>2026-10-15</t>
        </is>
      </c>
      <c r="B5" s="58" t="inlineStr">
        <is>
          <t>Delhi</t>
        </is>
      </c>
      <c r="C5" s="58" t="inlineStr">
        <is>
          <t>DEL-01</t>
        </is>
      </c>
      <c r="D5" s="58" t="inlineStr">
        <is>
          <t>Walk-in</t>
        </is>
      </c>
      <c r="E5" s="58" t="n">
        <v>5</v>
      </c>
      <c r="F5" s="58" t="inlineStr">
        <is>
          <t>Fragrance</t>
        </is>
      </c>
      <c r="G5" s="58" t="inlineStr">
        <is>
          <t>Loved the sandalwood range</t>
        </is>
      </c>
      <c r="H5" s="58" t="inlineStr">
        <is>
          <t>Recommended gift set</t>
        </is>
      </c>
      <c r="I5" s="58" t="inlineStr">
        <is>
          <t>Closed</t>
        </is>
      </c>
    </row>
    <row r="6" ht="16" customHeight="1">
      <c r="A6" s="45" t="inlineStr"/>
      <c r="B6" s="45" t="inlineStr"/>
      <c r="C6" s="45" t="inlineStr"/>
      <c r="D6" s="45" t="inlineStr"/>
      <c r="E6" s="45" t="inlineStr"/>
      <c r="F6" s="45" t="inlineStr"/>
      <c r="G6" s="45" t="inlineStr"/>
      <c r="H6" s="45" t="inlineStr"/>
      <c r="I6" s="45" t="inlineStr"/>
    </row>
    <row r="7" ht="16" customHeight="1">
      <c r="A7" s="47" t="inlineStr"/>
      <c r="B7" s="47" t="inlineStr"/>
      <c r="C7" s="47" t="inlineStr"/>
      <c r="D7" s="47" t="inlineStr"/>
      <c r="E7" s="47" t="inlineStr"/>
      <c r="F7" s="47" t="inlineStr"/>
      <c r="G7" s="47" t="inlineStr"/>
      <c r="H7" s="47" t="inlineStr"/>
      <c r="I7" s="47" t="inlineStr"/>
    </row>
    <row r="8" ht="16" customHeight="1">
      <c r="A8" s="45" t="inlineStr"/>
      <c r="B8" s="45" t="inlineStr"/>
      <c r="C8" s="45" t="inlineStr"/>
      <c r="D8" s="45" t="inlineStr"/>
      <c r="E8" s="45" t="inlineStr"/>
      <c r="F8" s="45" t="inlineStr"/>
      <c r="G8" s="45" t="inlineStr"/>
      <c r="H8" s="45" t="inlineStr"/>
      <c r="I8" s="45" t="inlineStr"/>
    </row>
    <row r="9" ht="16" customHeight="1">
      <c r="A9" s="47" t="inlineStr"/>
      <c r="B9" s="47" t="inlineStr"/>
      <c r="C9" s="47" t="inlineStr"/>
      <c r="D9" s="47" t="inlineStr"/>
      <c r="E9" s="47" t="inlineStr"/>
      <c r="F9" s="47" t="inlineStr"/>
      <c r="G9" s="47" t="inlineStr"/>
      <c r="H9" s="47" t="inlineStr"/>
      <c r="I9" s="47" t="inlineStr"/>
    </row>
    <row r="10" ht="16" customHeight="1">
      <c r="A10" s="45" t="inlineStr"/>
      <c r="B10" s="45" t="inlineStr"/>
      <c r="C10" s="45" t="inlineStr"/>
      <c r="D10" s="45" t="inlineStr"/>
      <c r="E10" s="45" t="inlineStr"/>
      <c r="F10" s="45" t="inlineStr"/>
      <c r="G10" s="45" t="inlineStr"/>
      <c r="H10" s="45" t="inlineStr"/>
      <c r="I10" s="45" t="inlineStr"/>
    </row>
    <row r="11" ht="16" customHeight="1">
      <c r="A11" s="47" t="inlineStr"/>
      <c r="B11" s="47" t="inlineStr"/>
      <c r="C11" s="47" t="inlineStr"/>
      <c r="D11" s="47" t="inlineStr"/>
      <c r="E11" s="47" t="inlineStr"/>
      <c r="F11" s="47" t="inlineStr"/>
      <c r="G11" s="47" t="inlineStr"/>
      <c r="H11" s="47" t="inlineStr"/>
      <c r="I11" s="47" t="inlineStr"/>
    </row>
    <row r="12" ht="16" customHeight="1">
      <c r="A12" s="45" t="inlineStr"/>
      <c r="B12" s="45" t="inlineStr"/>
      <c r="C12" s="45" t="inlineStr"/>
      <c r="D12" s="45" t="inlineStr"/>
      <c r="E12" s="45" t="inlineStr"/>
      <c r="F12" s="45" t="inlineStr"/>
      <c r="G12" s="45" t="inlineStr"/>
      <c r="H12" s="45" t="inlineStr"/>
      <c r="I12" s="45" t="inlineStr"/>
    </row>
    <row r="13" ht="16" customHeight="1">
      <c r="A13" s="47" t="inlineStr"/>
      <c r="B13" s="47" t="inlineStr"/>
      <c r="C13" s="47" t="inlineStr"/>
      <c r="D13" s="47" t="inlineStr"/>
      <c r="E13" s="47" t="inlineStr"/>
      <c r="F13" s="47" t="inlineStr"/>
      <c r="G13" s="47" t="inlineStr"/>
      <c r="H13" s="47" t="inlineStr"/>
      <c r="I13" s="47" t="inlineStr"/>
    </row>
    <row r="14" ht="16" customHeight="1">
      <c r="A14" s="45" t="inlineStr"/>
      <c r="B14" s="45" t="inlineStr"/>
      <c r="C14" s="45" t="inlineStr"/>
      <c r="D14" s="45" t="inlineStr"/>
      <c r="E14" s="45" t="inlineStr"/>
      <c r="F14" s="45" t="inlineStr"/>
      <c r="G14" s="45" t="inlineStr"/>
      <c r="H14" s="45" t="inlineStr"/>
      <c r="I14" s="45" t="inlineStr"/>
    </row>
    <row r="15" ht="16" customHeight="1">
      <c r="A15" s="47" t="inlineStr"/>
      <c r="B15" s="47" t="inlineStr"/>
      <c r="C15" s="47" t="inlineStr"/>
      <c r="D15" s="47" t="inlineStr"/>
      <c r="E15" s="47" t="inlineStr"/>
      <c r="F15" s="47" t="inlineStr"/>
      <c r="G15" s="47" t="inlineStr"/>
      <c r="H15" s="47" t="inlineStr"/>
      <c r="I15" s="47" t="inlineStr"/>
    </row>
    <row r="16" ht="16" customHeight="1">
      <c r="A16" s="45" t="inlineStr"/>
      <c r="B16" s="45" t="inlineStr"/>
      <c r="C16" s="45" t="inlineStr"/>
      <c r="D16" s="45" t="inlineStr"/>
      <c r="E16" s="45" t="inlineStr"/>
      <c r="F16" s="45" t="inlineStr"/>
      <c r="G16" s="45" t="inlineStr"/>
      <c r="H16" s="45" t="inlineStr"/>
      <c r="I16" s="45" t="inlineStr"/>
    </row>
    <row r="17" ht="16" customHeight="1">
      <c r="A17" s="47" t="inlineStr"/>
      <c r="B17" s="47" t="inlineStr"/>
      <c r="C17" s="47" t="inlineStr"/>
      <c r="D17" s="47" t="inlineStr"/>
      <c r="E17" s="47" t="inlineStr"/>
      <c r="F17" s="47" t="inlineStr"/>
      <c r="G17" s="47" t="inlineStr"/>
      <c r="H17" s="47" t="inlineStr"/>
      <c r="I17" s="47" t="inlineStr"/>
    </row>
    <row r="18" ht="16" customHeight="1">
      <c r="A18" s="45" t="inlineStr"/>
      <c r="B18" s="45" t="inlineStr"/>
      <c r="C18" s="45" t="inlineStr"/>
      <c r="D18" s="45" t="inlineStr"/>
      <c r="E18" s="45" t="inlineStr"/>
      <c r="F18" s="45" t="inlineStr"/>
      <c r="G18" s="45" t="inlineStr"/>
      <c r="H18" s="45" t="inlineStr"/>
      <c r="I18" s="45" t="inlineStr"/>
    </row>
    <row r="19" ht="16" customHeight="1">
      <c r="A19" s="47" t="inlineStr"/>
      <c r="B19" s="47" t="inlineStr"/>
      <c r="C19" s="47" t="inlineStr"/>
      <c r="D19" s="47" t="inlineStr"/>
      <c r="E19" s="47" t="inlineStr"/>
      <c r="F19" s="47" t="inlineStr"/>
      <c r="G19" s="47" t="inlineStr"/>
      <c r="H19" s="47" t="inlineStr"/>
      <c r="I19" s="47" t="inlineStr"/>
    </row>
    <row r="20" ht="16" customHeight="1">
      <c r="A20" s="45" t="inlineStr"/>
      <c r="B20" s="45" t="inlineStr"/>
      <c r="C20" s="45" t="inlineStr"/>
      <c r="D20" s="45" t="inlineStr"/>
      <c r="E20" s="45" t="inlineStr"/>
      <c r="F20" s="45" t="inlineStr"/>
      <c r="G20" s="45" t="inlineStr"/>
      <c r="H20" s="45" t="inlineStr"/>
      <c r="I20" s="45" t="inlineStr"/>
    </row>
    <row r="21" ht="16" customHeight="1">
      <c r="A21" s="47" t="inlineStr"/>
      <c r="B21" s="47" t="inlineStr"/>
      <c r="C21" s="47" t="inlineStr"/>
      <c r="D21" s="47" t="inlineStr"/>
      <c r="E21" s="47" t="inlineStr"/>
      <c r="F21" s="47" t="inlineStr"/>
      <c r="G21" s="47" t="inlineStr"/>
      <c r="H21" s="47" t="inlineStr"/>
      <c r="I21" s="47" t="inlineStr"/>
    </row>
    <row r="22" ht="16" customHeight="1">
      <c r="A22" s="45" t="inlineStr"/>
      <c r="B22" s="45" t="inlineStr"/>
      <c r="C22" s="45" t="inlineStr"/>
      <c r="D22" s="45" t="inlineStr"/>
      <c r="E22" s="45" t="inlineStr"/>
      <c r="F22" s="45" t="inlineStr"/>
      <c r="G22" s="45" t="inlineStr"/>
      <c r="H22" s="45" t="inlineStr"/>
      <c r="I22" s="45" t="inlineStr"/>
    </row>
    <row r="23" ht="16" customHeight="1">
      <c r="A23" s="47" t="inlineStr"/>
      <c r="B23" s="47" t="inlineStr"/>
      <c r="C23" s="47" t="inlineStr"/>
      <c r="D23" s="47" t="inlineStr"/>
      <c r="E23" s="47" t="inlineStr"/>
      <c r="F23" s="47" t="inlineStr"/>
      <c r="G23" s="47" t="inlineStr"/>
      <c r="H23" s="47" t="inlineStr"/>
      <c r="I23" s="47" t="inlineStr"/>
    </row>
    <row r="24" ht="16" customHeight="1">
      <c r="A24" s="45" t="inlineStr"/>
      <c r="B24" s="45" t="inlineStr"/>
      <c r="C24" s="45" t="inlineStr"/>
      <c r="D24" s="45" t="inlineStr"/>
      <c r="E24" s="45" t="inlineStr"/>
      <c r="F24" s="45" t="inlineStr"/>
      <c r="G24" s="45" t="inlineStr"/>
      <c r="H24" s="45" t="inlineStr"/>
      <c r="I24" s="45" t="inlineStr"/>
    </row>
    <row r="25" ht="16" customHeight="1">
      <c r="A25" s="47" t="inlineStr"/>
      <c r="B25" s="47" t="inlineStr"/>
      <c r="C25" s="47" t="inlineStr"/>
      <c r="D25" s="47" t="inlineStr"/>
      <c r="E25" s="47" t="inlineStr"/>
      <c r="F25" s="47" t="inlineStr"/>
      <c r="G25" s="47" t="inlineStr"/>
      <c r="H25" s="47" t="inlineStr"/>
      <c r="I25" s="47" t="inlineStr"/>
    </row>
    <row r="26" ht="16" customHeight="1">
      <c r="A26" s="45" t="inlineStr"/>
      <c r="B26" s="45" t="inlineStr"/>
      <c r="C26" s="45" t="inlineStr"/>
      <c r="D26" s="45" t="inlineStr"/>
      <c r="E26" s="45" t="inlineStr"/>
      <c r="F26" s="45" t="inlineStr"/>
      <c r="G26" s="45" t="inlineStr"/>
      <c r="H26" s="45" t="inlineStr"/>
      <c r="I26" s="45" t="inlineStr"/>
    </row>
    <row r="27" ht="16" customHeight="1">
      <c r="A27" s="47" t="inlineStr"/>
      <c r="B27" s="47" t="inlineStr"/>
      <c r="C27" s="47" t="inlineStr"/>
      <c r="D27" s="47" t="inlineStr"/>
      <c r="E27" s="47" t="inlineStr"/>
      <c r="F27" s="47" t="inlineStr"/>
      <c r="G27" s="47" t="inlineStr"/>
      <c r="H27" s="47" t="inlineStr"/>
      <c r="I27" s="47" t="inlineStr"/>
    </row>
    <row r="28" ht="16" customHeight="1">
      <c r="A28" s="45" t="inlineStr"/>
      <c r="B28" s="45" t="inlineStr"/>
      <c r="C28" s="45" t="inlineStr"/>
      <c r="D28" s="45" t="inlineStr"/>
      <c r="E28" s="45" t="inlineStr"/>
      <c r="F28" s="45" t="inlineStr"/>
      <c r="G28" s="45" t="inlineStr"/>
      <c r="H28" s="45" t="inlineStr"/>
      <c r="I28" s="45" t="inlineStr"/>
    </row>
    <row r="29" ht="16" customHeight="1">
      <c r="A29" s="47" t="inlineStr"/>
      <c r="B29" s="47" t="inlineStr"/>
      <c r="C29" s="47" t="inlineStr"/>
      <c r="D29" s="47" t="inlineStr"/>
      <c r="E29" s="47" t="inlineStr"/>
      <c r="F29" s="47" t="inlineStr"/>
      <c r="G29" s="47" t="inlineStr"/>
      <c r="H29" s="47" t="inlineStr"/>
      <c r="I29" s="47" t="inlineStr"/>
    </row>
  </sheetData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9" customWidth="1" min="4" max="4"/>
    <col width="14" customWidth="1" min="5" max="5"/>
    <col width="24" customWidth="1" min="6" max="6"/>
  </cols>
  <sheetData>
    <row r="1" ht="30" customHeight="1">
      <c r="A1" s="1" t="inlineStr">
        <is>
          <t>Compliance &amp; Legal Checklist</t>
        </is>
      </c>
    </row>
    <row r="2" ht="20" customHeight="1">
      <c r="A2" s="2" t="inlineStr">
        <is>
          <t>Per pop-up. Status: Not Started / In Progress / Done / N/A.</t>
        </is>
      </c>
    </row>
    <row r="4">
      <c r="A4" s="12" t="inlineStr">
        <is>
          <t>#</t>
        </is>
      </c>
      <c r="B4" s="12" t="inlineStr">
        <is>
          <t>Requirement</t>
        </is>
      </c>
      <c r="C4" s="12" t="inlineStr">
        <is>
          <t>Responsible</t>
        </is>
      </c>
      <c r="D4" s="12" t="inlineStr">
        <is>
          <t>Due (T-)</t>
        </is>
      </c>
      <c r="E4" s="12" t="inlineStr">
        <is>
          <t>Status</t>
        </is>
      </c>
      <c r="F4" s="12" t="inlineStr">
        <is>
          <t>Remarks</t>
        </is>
      </c>
    </row>
    <row r="5" ht="18" customHeight="1">
      <c r="A5" s="18" t="n">
        <v>1</v>
      </c>
      <c r="B5" s="28" t="inlineStr">
        <is>
          <t>Mall space licence agreement signed</t>
        </is>
      </c>
      <c r="C5" s="59" t="inlineStr"/>
      <c r="D5" s="60" t="inlineStr"/>
      <c r="E5" s="60" t="inlineStr"/>
      <c r="F5" s="45" t="inlineStr"/>
    </row>
    <row r="6" ht="18" customHeight="1">
      <c r="A6" s="22" t="n">
        <v>2</v>
      </c>
      <c r="B6" s="30" t="inlineStr">
        <is>
          <t>Shops &amp; Establishment / trade compliance</t>
        </is>
      </c>
      <c r="C6" s="59" t="inlineStr"/>
      <c r="D6" s="60" t="inlineStr"/>
      <c r="E6" s="60" t="inlineStr"/>
      <c r="F6" s="47" t="inlineStr"/>
    </row>
    <row r="7" ht="18" customHeight="1">
      <c r="A7" s="18" t="n">
        <v>3</v>
      </c>
      <c r="B7" s="28" t="inlineStr">
        <is>
          <t>GST registration &amp; e-invoicing ready</t>
        </is>
      </c>
      <c r="C7" s="59" t="inlineStr"/>
      <c r="D7" s="60" t="inlineStr"/>
      <c r="E7" s="60" t="inlineStr"/>
      <c r="F7" s="45" t="inlineStr"/>
    </row>
    <row r="8" ht="18" customHeight="1">
      <c r="A8" s="22" t="n">
        <v>4</v>
      </c>
      <c r="B8" s="30" t="inlineStr">
        <is>
          <t>Staff police / background verification (BGV) complete</t>
        </is>
      </c>
      <c r="C8" s="59" t="inlineStr"/>
      <c r="D8" s="60" t="inlineStr"/>
      <c r="E8" s="60" t="inlineStr"/>
      <c r="F8" s="47" t="inlineStr"/>
    </row>
    <row r="9" ht="18" customHeight="1">
      <c r="A9" s="18" t="n">
        <v>5</v>
      </c>
      <c r="B9" s="28" t="inlineStr">
        <is>
          <t>PF &amp; ESIC registration for deployed staff</t>
        </is>
      </c>
      <c r="C9" s="59" t="inlineStr"/>
      <c r="D9" s="60" t="inlineStr"/>
      <c r="E9" s="60" t="inlineStr"/>
      <c r="F9" s="45" t="inlineStr"/>
    </row>
    <row r="10" ht="18" customHeight="1">
      <c r="A10" s="22" t="n">
        <v>6</v>
      </c>
      <c r="B10" s="30" t="inlineStr">
        <is>
          <t>Public liability / event insurance in place</t>
        </is>
      </c>
      <c r="C10" s="59" t="inlineStr"/>
      <c r="D10" s="60" t="inlineStr"/>
      <c r="E10" s="60" t="inlineStr"/>
      <c r="F10" s="47" t="inlineStr"/>
    </row>
    <row r="11" ht="18" customHeight="1">
      <c r="A11" s="18" t="n">
        <v>7</v>
      </c>
      <c r="B11" s="28" t="inlineStr">
        <is>
          <t>Fire &amp; safety and electrical clearance</t>
        </is>
      </c>
      <c r="C11" s="59" t="inlineStr"/>
      <c r="D11" s="60" t="inlineStr"/>
      <c r="E11" s="60" t="inlineStr"/>
      <c r="F11" s="45" t="inlineStr"/>
    </row>
    <row r="12" ht="18" customHeight="1">
      <c r="A12" s="22" t="n">
        <v>8</v>
      </c>
      <c r="B12" s="30" t="inlineStr">
        <is>
          <t>Access passes &amp; loading/unloading permits</t>
        </is>
      </c>
      <c r="C12" s="59" t="inlineStr"/>
      <c r="D12" s="60" t="inlineStr"/>
      <c r="E12" s="60" t="inlineStr"/>
      <c r="F12" s="47" t="inlineStr"/>
    </row>
    <row r="13" ht="18" customHeight="1">
      <c r="A13" s="18" t="n">
        <v>9</v>
      </c>
      <c r="B13" s="28" t="inlineStr">
        <is>
          <t>Electricity connection / DG arrangement</t>
        </is>
      </c>
      <c r="C13" s="59" t="inlineStr"/>
      <c r="D13" s="60" t="inlineStr"/>
      <c r="E13" s="60" t="inlineStr"/>
      <c r="F13" s="45" t="inlineStr"/>
    </row>
    <row r="14" ht="18" customHeight="1">
      <c r="A14" s="22" t="n">
        <v>10</v>
      </c>
      <c r="B14" s="30" t="inlineStr">
        <is>
          <t>POS/EDC machine received &amp; tested</t>
        </is>
      </c>
      <c r="C14" s="59" t="inlineStr"/>
      <c r="D14" s="60" t="inlineStr"/>
      <c r="E14" s="60" t="inlineStr"/>
      <c r="F14" s="47" t="inlineStr"/>
    </row>
    <row r="15" ht="18" customHeight="1">
      <c r="A15" s="18" t="n">
        <v>11</v>
      </c>
      <c r="B15" s="28" t="inlineStr">
        <is>
          <t>Uniforms received (returnable) &amp; logged</t>
        </is>
      </c>
      <c r="C15" s="59" t="inlineStr"/>
      <c r="D15" s="60" t="inlineStr"/>
      <c r="E15" s="60" t="inlineStr"/>
      <c r="F15" s="45" t="inlineStr"/>
    </row>
    <row r="16" ht="18" customHeight="1">
      <c r="A16" s="22" t="n">
        <v>12</v>
      </c>
      <c r="B16" s="30" t="inlineStr">
        <is>
          <t>Stock receipt &amp; insurance-in-transit from Ghaziabad</t>
        </is>
      </c>
      <c r="C16" s="59" t="inlineStr"/>
      <c r="D16" s="60" t="inlineStr"/>
      <c r="E16" s="60" t="inlineStr"/>
      <c r="F16" s="47" t="inlineStr"/>
    </row>
    <row r="17" ht="18" customHeight="1">
      <c r="A17" s="18" t="n">
        <v>13</v>
      </c>
      <c r="B17" s="28" t="inlineStr">
        <is>
          <t>Labour law / minimum-wage compliance</t>
        </is>
      </c>
      <c r="C17" s="59" t="inlineStr"/>
      <c r="D17" s="60" t="inlineStr"/>
      <c r="E17" s="60" t="inlineStr"/>
      <c r="F17" s="45" t="inlineStr"/>
    </row>
    <row r="18" ht="18" customHeight="1">
      <c r="A18" s="22" t="n">
        <v>14</v>
      </c>
      <c r="B18" s="30" t="inlineStr">
        <is>
          <t>Signed attendance &amp; payroll process</t>
        </is>
      </c>
      <c r="C18" s="59" t="inlineStr"/>
      <c r="D18" s="60" t="inlineStr"/>
      <c r="E18" s="60" t="inlineStr"/>
      <c r="F18" s="47" t="inlineStr"/>
    </row>
    <row r="19" ht="18" customHeight="1">
      <c r="A19" s="18" t="n">
        <v>15</v>
      </c>
      <c r="B19" s="28" t="inlineStr">
        <is>
          <t>Dismantling &amp; fixture-return sign-off plan</t>
        </is>
      </c>
      <c r="C19" s="59" t="inlineStr"/>
      <c r="D19" s="60" t="inlineStr"/>
      <c r="E19" s="60" t="inlineStr"/>
      <c r="F19" s="4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3" customWidth="1" min="3" max="3"/>
    <col width="11" customWidth="1" min="4" max="4"/>
    <col width="8" customWidth="1" min="5" max="5"/>
    <col width="40" customWidth="1" min="6" max="6"/>
    <col width="13" customWidth="1" min="7" max="7"/>
  </cols>
  <sheetData>
    <row r="1" ht="30" customHeight="1">
      <c r="A1" s="1" t="inlineStr">
        <is>
          <t>Risk Register</t>
        </is>
      </c>
    </row>
    <row r="2" ht="20" customHeight="1">
      <c r="A2" s="2" t="inlineStr">
        <is>
          <t>Score = Likelihood × Impact (1-5 each). Mitigate high scores first.</t>
        </is>
      </c>
    </row>
    <row r="4">
      <c r="A4" s="12" t="inlineStr">
        <is>
          <t>#</t>
        </is>
      </c>
      <c r="B4" s="12" t="inlineStr">
        <is>
          <t>Risk</t>
        </is>
      </c>
      <c r="C4" s="12" t="inlineStr">
        <is>
          <t>Likelihood (1-5)</t>
        </is>
      </c>
      <c r="D4" s="12" t="inlineStr">
        <is>
          <t>Impact (1-5)</t>
        </is>
      </c>
      <c r="E4" s="12" t="inlineStr">
        <is>
          <t>Score</t>
        </is>
      </c>
      <c r="F4" s="12" t="inlineStr">
        <is>
          <t>Mitigation</t>
        </is>
      </c>
      <c r="G4" s="12" t="inlineStr">
        <is>
          <t>Owner</t>
        </is>
      </c>
    </row>
    <row r="5" ht="28" customHeight="1">
      <c r="A5" s="18" t="n">
        <v>1</v>
      </c>
      <c r="B5" s="28" t="inlineStr">
        <is>
          <t>Staff attrition after training</t>
        </is>
      </c>
      <c r="C5" s="75" t="n">
        <v>4</v>
      </c>
      <c r="D5" s="75" t="n">
        <v>4</v>
      </c>
      <c r="E5" s="9">
        <f>C5*D5</f>
        <v/>
      </c>
      <c r="F5" s="28" t="inlineStr">
        <is>
          <t>Maintain 15% trained bench; immediate no-cost replacement</t>
        </is>
      </c>
      <c r="G5" s="20" t="inlineStr">
        <is>
          <t>Ops Head</t>
        </is>
      </c>
    </row>
    <row r="6" ht="28" customHeight="1">
      <c r="A6" s="22" t="n">
        <v>2</v>
      </c>
      <c r="B6" s="30" t="inlineStr">
        <is>
          <t>Mall licence / permission delay</t>
        </is>
      </c>
      <c r="C6" s="75" t="n">
        <v>3</v>
      </c>
      <c r="D6" s="75" t="n">
        <v>5</v>
      </c>
      <c r="E6" s="76">
        <f>C6*D6</f>
        <v/>
      </c>
      <c r="F6" s="30" t="inlineStr">
        <is>
          <t>Start licensing at T-7w; parallel mall shortlist</t>
        </is>
      </c>
      <c r="G6" s="24" t="inlineStr">
        <is>
          <t>Legal</t>
        </is>
      </c>
    </row>
    <row r="7" ht="28" customHeight="1">
      <c r="A7" s="18" t="n">
        <v>3</v>
      </c>
      <c r="B7" s="28" t="inlineStr">
        <is>
          <t>Stock-out during peak days</t>
        </is>
      </c>
      <c r="C7" s="75" t="n">
        <v>3</v>
      </c>
      <c r="D7" s="75" t="n">
        <v>5</v>
      </c>
      <c r="E7" s="9">
        <f>C7*D7</f>
        <v/>
      </c>
      <c r="F7" s="28" t="inlineStr">
        <is>
          <t>Reorder levels + daily replenishment from 90 sq ft stockroom</t>
        </is>
      </c>
      <c r="G7" s="20" t="inlineStr">
        <is>
          <t>Logistics</t>
        </is>
      </c>
    </row>
    <row r="8" ht="28" customHeight="1">
      <c r="A8" s="22" t="n">
        <v>4</v>
      </c>
      <c r="B8" s="30" t="inlineStr">
        <is>
          <t>POS/EDC downtime</t>
        </is>
      </c>
      <c r="C8" s="75" t="n">
        <v>2</v>
      </c>
      <c r="D8" s="75" t="n">
        <v>4</v>
      </c>
      <c r="E8" s="76">
        <f>C8*D8</f>
        <v/>
      </c>
      <c r="F8" s="30" t="inlineStr">
        <is>
          <t>Backup EDC + trained cashier; mall Wi-Fi + dongle failover</t>
        </is>
      </c>
      <c r="G8" s="24" t="inlineStr">
        <is>
          <t>Cashier/IT</t>
        </is>
      </c>
    </row>
    <row r="9" ht="28" customHeight="1">
      <c r="A9" s="18" t="n">
        <v>5</v>
      </c>
      <c r="B9" s="28" t="inlineStr">
        <is>
          <t>Underperformance vs sales target</t>
        </is>
      </c>
      <c r="C9" s="75" t="n">
        <v>3</v>
      </c>
      <c r="D9" s="75" t="n">
        <v>4</v>
      </c>
      <c r="E9" s="9">
        <f>C9*D9</f>
        <v/>
      </c>
      <c r="F9" s="28" t="inlineStr">
        <is>
          <t>Daily reporting, incentives, TL coaching</t>
        </is>
      </c>
      <c r="G9" s="20" t="inlineStr">
        <is>
          <t>Team Leader</t>
        </is>
      </c>
    </row>
    <row r="10" ht="28" customHeight="1">
      <c r="A10" s="22" t="n">
        <v>6</v>
      </c>
      <c r="B10" s="30" t="inlineStr">
        <is>
          <t>Kiosk fabrication delay</t>
        </is>
      </c>
      <c r="C10" s="75" t="n">
        <v>2</v>
      </c>
      <c r="D10" s="75" t="n">
        <v>5</v>
      </c>
      <c r="E10" s="76">
        <f>C10*D10</f>
        <v/>
      </c>
      <c r="F10" s="30" t="inlineStr">
        <is>
          <t>Vendor SLA + 3-day buffer before go-live</t>
        </is>
      </c>
      <c r="G10" s="24" t="inlineStr">
        <is>
          <t>Projects</t>
        </is>
      </c>
    </row>
    <row r="11" ht="28" customHeight="1">
      <c r="A11" s="18" t="n">
        <v>7</v>
      </c>
      <c r="B11" s="28" t="inlineStr">
        <is>
          <t>Statutory non-compliance</t>
        </is>
      </c>
      <c r="C11" s="75" t="n">
        <v>2</v>
      </c>
      <c r="D11" s="75" t="n">
        <v>5</v>
      </c>
      <c r="E11" s="9">
        <f>C11*D11</f>
        <v/>
      </c>
      <c r="F11" s="28" t="inlineStr">
        <is>
          <t>Compliance checklist sign-off before go-live</t>
        </is>
      </c>
      <c r="G11" s="20" t="inlineStr">
        <is>
          <t>Legal</t>
        </is>
      </c>
    </row>
    <row r="12" ht="28" customHeight="1">
      <c r="A12" s="22" t="n">
        <v>8</v>
      </c>
      <c r="B12" s="30" t="inlineStr">
        <is>
          <t>Cash handling / shrinkage</t>
        </is>
      </c>
      <c r="C12" s="75" t="n">
        <v>2</v>
      </c>
      <c r="D12" s="75" t="n">
        <v>4</v>
      </c>
      <c r="E12" s="76">
        <f>C12*D12</f>
        <v/>
      </c>
      <c r="F12" s="30" t="inlineStr">
        <is>
          <t>Dual control, daily reconciliation, CCTV where available</t>
        </is>
      </c>
      <c r="G12" s="24" t="inlineStr">
        <is>
          <t>Cashier/TL</t>
        </is>
      </c>
    </row>
    <row r="13" ht="28" customHeight="1">
      <c r="A13" s="18" t="n">
        <v>9</v>
      </c>
      <c r="B13" s="28" t="inlineStr">
        <is>
          <t>Uniform damage / loss</t>
        </is>
      </c>
      <c r="C13" s="75" t="n">
        <v>2</v>
      </c>
      <c r="D13" s="75" t="n">
        <v>2</v>
      </c>
      <c r="E13" s="9">
        <f>C13*D13</f>
        <v/>
      </c>
      <c r="F13" s="28" t="inlineStr">
        <is>
          <t>Issue log, upkeep SOP, deposit control</t>
        </is>
      </c>
      <c r="G13" s="20" t="inlineStr">
        <is>
          <t>Team Leader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2026-07-29T19:00:33Z</dcterms:created>
  <dcterms:modified xmlns:dcterms="http://purl.org/dc/terms/" xmlns:xsi="http://www.w3.org/2001/XMLSchema-instance" xsi:type="dcterms:W3CDTF">2026-07-29T19:00:33Z</dcterms:modified>
</cp:coreProperties>
</file>