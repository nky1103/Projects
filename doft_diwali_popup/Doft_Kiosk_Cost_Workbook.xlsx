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ities List" sheetId="2" state="visible" r:id="rId2"/>
    <sheet xmlns:r="http://schemas.openxmlformats.org/officeDocument/2006/relationships" name="Setup Cost" sheetId="3" state="visible" r:id="rId3"/>
    <sheet xmlns:r="http://schemas.openxmlformats.org/officeDocument/2006/relationships" name="Manpower Cost" sheetId="4" state="visible" r:id="rId4"/>
    <sheet xmlns:r="http://schemas.openxmlformats.org/officeDocument/2006/relationships" name="Location Charges" sheetId="5" state="visible" r:id="rId5"/>
    <sheet xmlns:r="http://schemas.openxmlformats.org/officeDocument/2006/relationships" name="Other Ele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6B6455"/>
      <sz val="9"/>
    </font>
    <font>
      <name val="Calibri"/>
      <b val="1"/>
      <color rgb="00FFFFFF"/>
      <sz val="10"/>
    </font>
    <font>
      <name val="Calibri"/>
      <color rgb="002A2621"/>
      <sz val="9"/>
    </font>
    <font>
      <name val="Calibri"/>
      <b val="1"/>
      <color rgb="002A2621"/>
      <sz val="10"/>
    </font>
    <font>
      <name val="Calibri"/>
      <color rgb="0055503f"/>
      <sz val="9"/>
    </font>
    <font>
      <name val="Calibri"/>
      <color rgb="002A2621"/>
      <sz val="10"/>
    </font>
    <font>
      <name val="Calibri"/>
      <b val="1"/>
      <color rgb="00FFFFFF"/>
      <sz val="11"/>
    </font>
    <font>
      <name val="Calibri"/>
      <b val="1"/>
      <color rgb="002A2621"/>
      <sz val="11"/>
    </font>
    <font>
      <name val="Calibri"/>
      <b val="1"/>
      <color rgb="00A9813A"/>
      <sz val="11"/>
    </font>
    <font>
      <name val="Calibri"/>
      <b val="1"/>
      <color rgb="00FFFFFF"/>
      <sz val="9"/>
    </font>
    <font>
      <name val="Calibri"/>
      <b val="1"/>
      <color rgb="006B6455"/>
      <sz val="9"/>
    </font>
    <font>
      <name val="Calibri"/>
      <b val="1"/>
      <color rgb="00C6A24E"/>
      <sz val="18"/>
    </font>
    <font>
      <name val="Calibri"/>
      <color rgb="00D8CDB6"/>
      <sz val="10"/>
    </font>
    <font>
      <name val="Calibri"/>
      <b val="1"/>
      <color rgb="007a5b12"/>
      <sz val="10"/>
    </font>
    <font>
      <name val="Calibri"/>
      <b val="1"/>
      <color rgb="00FFFFFF"/>
      <sz val="12"/>
    </font>
    <font>
      <name val="Calibri"/>
      <b val="1"/>
      <color rgb="00C6A24E"/>
      <sz val="12"/>
    </font>
    <font>
      <name val="Calibri"/>
      <b val="1"/>
      <color rgb="00A9813A"/>
      <sz val="10"/>
    </font>
  </fonts>
  <fills count="7">
    <fill>
      <patternFill/>
    </fill>
    <fill>
      <patternFill patternType="gray125"/>
    </fill>
    <fill>
      <patternFill patternType="solid">
        <fgColor rgb="002B2621"/>
      </patternFill>
    </fill>
    <fill>
      <patternFill patternType="solid">
        <fgColor rgb="00FBEFC8"/>
      </patternFill>
    </fill>
    <fill>
      <patternFill patternType="solid">
        <fgColor rgb="00EFE0BC"/>
      </patternFill>
    </fill>
    <fill>
      <patternFill patternType="solid">
        <fgColor rgb="00F0ECE1"/>
      </patternFill>
    </fill>
    <fill>
      <patternFill patternType="solid">
        <fgColor rgb="00F7F3EA"/>
      </patternFill>
    </fill>
  </fills>
  <borders count="5">
    <border>
      <left/>
      <right/>
      <top/>
      <bottom/>
      <diagonal/>
    </border>
    <border>
      <left style="thin">
        <color rgb="00D8D0BE"/>
      </left>
      <right style="thin">
        <color rgb="00D8D0BE"/>
      </right>
      <top style="thin">
        <color rgb="00D8D0BE"/>
      </top>
      <bottom style="thin">
        <color rgb="00D8D0BE"/>
      </bottom>
    </border>
    <border>
      <left/>
      <right/>
      <top style="thin">
        <color rgb="00D8D0BE"/>
      </top>
      <bottom/>
      <diagonal/>
    </border>
    <border>
      <left/>
      <right style="thin">
        <color rgb="00D8D0BE"/>
      </right>
      <top style="thin">
        <color rgb="00D8D0BE"/>
      </top>
      <bottom/>
      <diagonal/>
    </border>
    <border>
      <left/>
      <right style="thin">
        <color rgb="00D8D0BE"/>
      </right>
      <top style="thin">
        <color rgb="00D8D0BE"/>
      </top>
      <bottom style="thin">
        <color rgb="00D8D0BE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3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" fontId="15" fillId="3" borderId="1" applyAlignment="1" pivotButton="0" quotePrefix="0" xfId="0">
      <alignment horizontal="center" vertical="center"/>
    </xf>
    <xf numFmtId="165" fontId="15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5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4" fontId="9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16" fillId="2" borderId="1" applyAlignment="1" pivotButton="0" quotePrefix="0" xfId="0">
      <alignment horizontal="left" vertical="center"/>
    </xf>
    <xf numFmtId="164" fontId="17" fillId="2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164" fontId="18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8" customWidth="1" min="3" max="3"/>
    <col width="16" customWidth="1" min="4" max="4"/>
    <col width="16" customWidth="1" min="5" max="5"/>
    <col width="10" customWidth="1" min="6" max="6"/>
  </cols>
  <sheetData>
    <row r="1" ht="28" customHeight="1">
      <c r="A1" s="1" t="inlineStr">
        <is>
          <t>DOFT  x  ProMarcom</t>
        </is>
      </c>
    </row>
    <row r="2">
      <c r="A2" s="2" t="inlineStr">
        <is>
          <t>Diwali Pop-Up Kiosk  -  Programme Cost Summary  -  14 malls, 8 ft x 8 ft</t>
        </is>
      </c>
    </row>
    <row r="3">
      <c r="A3" s="3" t="inlineStr">
        <is>
          <t>Assumptions (edit gold cells)</t>
        </is>
      </c>
      <c r="B3" s="4" t="n"/>
      <c r="C3" s="4" t="n"/>
      <c r="D3" s="4" t="n"/>
      <c r="E3" s="4" t="n"/>
      <c r="F3" s="4" t="n"/>
    </row>
    <row r="4">
      <c r="A4" s="5" t="inlineStr">
        <is>
          <t>No. of kiosks / malls</t>
        </is>
      </c>
      <c r="C4" s="6" t="n">
        <v>14</v>
      </c>
    </row>
    <row r="5">
      <c r="A5" s="5" t="inlineStr">
        <is>
          <t>Operating window (weeks)</t>
        </is>
      </c>
      <c r="C5" s="6" t="n">
        <v>6</v>
      </c>
    </row>
    <row r="6">
      <c r="A6" s="5" t="inlineStr">
        <is>
          <t>Operating days (per kiosk)</t>
        </is>
      </c>
      <c r="C6" s="6" t="n">
        <v>45</v>
      </c>
    </row>
    <row r="7">
      <c r="A7" s="5" t="inlineStr">
        <is>
          <t>Management fee</t>
        </is>
      </c>
      <c r="C7" s="7">
        <f>0.10</f>
        <v/>
      </c>
    </row>
    <row r="8">
      <c r="A8" s="5" t="inlineStr">
        <is>
          <t>GST</t>
        </is>
      </c>
      <c r="C8" s="7">
        <f>0.18</f>
        <v/>
      </c>
    </row>
    <row r="10">
      <c r="A10" s="8" t="inlineStr">
        <is>
          <t>Cost Head</t>
        </is>
      </c>
      <c r="B10" s="9" t="inlineStr">
        <is>
          <t>Ref</t>
        </is>
      </c>
      <c r="C10" s="10" t="inlineStr">
        <is>
          <t>Per kiosk (Rs)</t>
        </is>
      </c>
      <c r="D10" s="10" t="inlineStr">
        <is>
          <t>Programme (Rs)</t>
        </is>
      </c>
      <c r="E10" s="8" t="inlineStr">
        <is>
          <t>Notes</t>
        </is>
      </c>
      <c r="F10" s="11" t="n"/>
    </row>
    <row r="11">
      <c r="A11" s="12" t="inlineStr">
        <is>
          <t>A. Kiosk setup &amp; build</t>
        </is>
      </c>
      <c r="B11" s="13" t="inlineStr">
        <is>
          <t>Setup Cost</t>
        </is>
      </c>
      <c r="C11" s="14">
        <f>'Setup Cost'!F17</f>
        <v/>
      </c>
      <c r="D11" s="14">
        <f>'Setup Cost'!F18</f>
        <v/>
      </c>
      <c r="E11" s="15" t="inlineStr">
        <is>
          <t>Design, fabrication, install, dismantle</t>
        </is>
      </c>
    </row>
    <row r="12">
      <c r="A12" s="12" t="inlineStr">
        <is>
          <t>B. Manpower</t>
        </is>
      </c>
      <c r="B12" s="13" t="inlineStr">
        <is>
          <t>Manpower Cost</t>
        </is>
      </c>
      <c r="C12" s="14">
        <f>'Manpower Cost'!G11+'Manpower Cost'!G16</f>
        <v/>
      </c>
      <c r="D12" s="14">
        <f>'Manpower Cost'!G17</f>
        <v/>
      </c>
      <c r="E12" s="15" t="inlineStr">
        <is>
          <t>Sales, billing, supervision, city mgr</t>
        </is>
      </c>
    </row>
    <row r="13">
      <c r="A13" s="12" t="inlineStr">
        <is>
          <t>C. Other elements</t>
        </is>
      </c>
      <c r="B13" s="13" t="inlineStr">
        <is>
          <t>Other Elements</t>
        </is>
      </c>
      <c r="C13" s="14">
        <f>'Other Elements'!D15</f>
        <v/>
      </c>
      <c r="D13" s="14">
        <f>'Other Elements'!D16</f>
        <v/>
      </c>
      <c r="E13" s="15" t="inlineStr">
        <is>
          <t>Logistics, warehouse, insurance, ops</t>
        </is>
      </c>
    </row>
    <row r="14">
      <c r="A14" s="12" t="inlineStr">
        <is>
          <t>D. Location / mall space</t>
        </is>
      </c>
      <c r="B14" s="13" t="inlineStr">
        <is>
          <t>Location Charges</t>
        </is>
      </c>
      <c r="C14" s="16" t="inlineStr">
        <is>
          <t>n/a</t>
        </is>
      </c>
      <c r="D14" s="14">
        <f>'Location Charges'!G19</f>
        <v/>
      </c>
      <c r="E14" s="15" t="inlineStr">
        <is>
          <t>3-day rate card, ex-GST; 6-wk TBD</t>
        </is>
      </c>
    </row>
    <row r="15">
      <c r="A15" s="17" t="inlineStr">
        <is>
          <t>Programme sub-total (ex-GST)</t>
        </is>
      </c>
      <c r="B15" s="18" t="n"/>
      <c r="C15" s="18" t="n"/>
      <c r="D15" s="19">
        <f>SUM(D11:D14)</f>
        <v/>
      </c>
      <c r="E15" s="20" t="n"/>
    </row>
    <row r="16">
      <c r="A16" s="12" t="inlineStr">
        <is>
          <t>Management fee</t>
        </is>
      </c>
      <c r="B16" s="21">
        <f>C7</f>
        <v/>
      </c>
      <c r="C16" s="22" t="n"/>
      <c r="D16" s="14">
        <f>D15*$C$7</f>
        <v/>
      </c>
      <c r="E16" s="23" t="inlineStr">
        <is>
          <t>% of programme sub-total</t>
        </is>
      </c>
    </row>
    <row r="17">
      <c r="A17" s="18" t="inlineStr">
        <is>
          <t>Sub-total incl. management fee</t>
        </is>
      </c>
      <c r="B17" s="24" t="n"/>
      <c r="C17" s="24" t="n"/>
      <c r="D17" s="25">
        <f>D15+D16</f>
        <v/>
      </c>
      <c r="E17" s="20" t="n"/>
    </row>
    <row r="18">
      <c r="A18" s="12" t="inlineStr">
        <is>
          <t>GST</t>
        </is>
      </c>
      <c r="B18" s="21">
        <f>C8</f>
        <v/>
      </c>
      <c r="C18" s="22" t="n"/>
      <c r="D18" s="14">
        <f>D17*$C$8</f>
        <v/>
      </c>
      <c r="E18" s="23" t="inlineStr">
        <is>
          <t>18% on sub-total incl. fee</t>
        </is>
      </c>
    </row>
    <row r="19">
      <c r="A19" s="26" t="inlineStr">
        <is>
          <t>GRAND TOTAL (incl. GST)</t>
        </is>
      </c>
      <c r="B19" s="8" t="n"/>
      <c r="C19" s="8" t="n"/>
      <c r="D19" s="27">
        <f>D17+D18</f>
        <v/>
      </c>
      <c r="E19" s="28" t="n"/>
    </row>
    <row r="21">
      <c r="A21" s="29" t="inlineStr">
        <is>
          <t>Per-kiosk average (incl. GST)</t>
        </is>
      </c>
      <c r="B21" s="30" t="n"/>
      <c r="C21" s="30" t="n"/>
      <c r="D21" s="31">
        <f>D19/$C$4</f>
        <v/>
      </c>
      <c r="E21" s="32" t="n"/>
    </row>
    <row r="23">
      <c r="A23" s="33" t="inlineStr">
        <is>
          <t>Basis &amp; notes:</t>
        </is>
      </c>
    </row>
    <row r="24">
      <c r="A24" s="34" t="inlineStr">
        <is>
          <t>- Figures sourced from the execution-agency ops sheet (build + manpower + logistics + insurance) and the mall activation rate card.</t>
        </is>
      </c>
    </row>
    <row r="25">
      <c r="A25" s="34" t="inlineStr">
        <is>
          <t>- Location / mall space (D) is a 3-day (Fri-Sun) rate card, ex-GST; the 6-week festive licence, CAM, electricity and deposits are to be negotiated per mall (blank).</t>
        </is>
      </c>
    </row>
    <row r="26">
      <c r="A26" s="34" t="inlineStr">
        <is>
          <t>- Management fee modelled at 10% of programme sub-total (the source sheet contained an apparent calculation error on this line).</t>
        </is>
      </c>
    </row>
    <row r="27">
      <c r="A27" s="34" t="inlineStr">
        <is>
          <t>- Billing hardware/software and security deposits left blank pending confirmation.</t>
        </is>
      </c>
    </row>
    <row r="28">
      <c r="A28" s="34" t="inlineStr">
        <is>
          <t>- All rates indicative placeholders; confirm against vendor, mall and statutory quotes before commercial submission.</t>
        </is>
      </c>
    </row>
  </sheetData>
  <mergeCells count="19">
    <mergeCell ref="E12:F12"/>
    <mergeCell ref="A27:F27"/>
    <mergeCell ref="E14:F14"/>
    <mergeCell ref="A26:F26"/>
    <mergeCell ref="E17:F17"/>
    <mergeCell ref="A2:F2"/>
    <mergeCell ref="E10:F10"/>
    <mergeCell ref="E19:F19"/>
    <mergeCell ref="A23:F23"/>
    <mergeCell ref="E13:F13"/>
    <mergeCell ref="A28:F28"/>
    <mergeCell ref="E15:F15"/>
    <mergeCell ref="E11:F11"/>
    <mergeCell ref="A24:F24"/>
    <mergeCell ref="E16:F16"/>
    <mergeCell ref="E21:F21"/>
    <mergeCell ref="A1:F1"/>
    <mergeCell ref="E18:F18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18" customWidth="1" min="4" max="4"/>
    <col width="10" customWidth="1" min="5" max="5"/>
    <col width="16" customWidth="1" min="6" max="6"/>
  </cols>
  <sheetData>
    <row r="1" ht="30" customHeight="1">
      <c r="A1" s="35" t="inlineStr">
        <is>
          <t>Cities &amp; Malls  -  Revised List (14)</t>
        </is>
      </c>
    </row>
    <row r="2" ht="16" customHeight="1">
      <c r="A2" s="34" t="inlineStr">
        <is>
          <t>Per the client's revised preferred-mall list. Footfall &amp; activity location per the mall rate card.</t>
        </is>
      </c>
    </row>
    <row r="4">
      <c r="A4" s="9" t="inlineStr">
        <is>
          <t>#</t>
        </is>
      </c>
      <c r="B4" s="8" t="inlineStr">
        <is>
          <t>City</t>
        </is>
      </c>
      <c r="C4" s="8" t="inlineStr">
        <is>
          <t>Preferred Mall</t>
        </is>
      </c>
      <c r="D4" s="8" t="inlineStr">
        <is>
          <t>Location / Zone</t>
        </is>
      </c>
      <c r="E4" s="9" t="inlineStr">
        <is>
          <t>Region</t>
        </is>
      </c>
      <c r="F4" s="9" t="inlineStr">
        <is>
          <t>Weekend Footfall</t>
        </is>
      </c>
    </row>
    <row r="5">
      <c r="A5" s="36" t="n">
        <v>1</v>
      </c>
      <c r="B5" s="12" t="inlineStr">
        <is>
          <t>Delhi</t>
        </is>
      </c>
      <c r="C5" s="5" t="inlineStr">
        <is>
          <t>Select Citywalk</t>
        </is>
      </c>
      <c r="D5" s="37" t="inlineStr">
        <is>
          <t>Saket</t>
        </is>
      </c>
      <c r="E5" s="36" t="inlineStr">
        <is>
          <t>North</t>
        </is>
      </c>
      <c r="F5" s="36" t="inlineStr">
        <is>
          <t>50-60k</t>
        </is>
      </c>
    </row>
    <row r="6">
      <c r="A6" s="38" t="n">
        <v>2</v>
      </c>
      <c r="B6" s="39" t="inlineStr">
        <is>
          <t>Noida</t>
        </is>
      </c>
      <c r="C6" s="40" t="inlineStr">
        <is>
          <t>DLF Mall of India</t>
        </is>
      </c>
      <c r="D6" s="41" t="inlineStr">
        <is>
          <t>Noida</t>
        </is>
      </c>
      <c r="E6" s="38" t="inlineStr">
        <is>
          <t>North</t>
        </is>
      </c>
      <c r="F6" s="38" t="inlineStr">
        <is>
          <t>50-60k</t>
        </is>
      </c>
    </row>
    <row r="7">
      <c r="A7" s="36" t="n">
        <v>3</v>
      </c>
      <c r="B7" s="12" t="inlineStr">
        <is>
          <t>Gurgaon</t>
        </is>
      </c>
      <c r="C7" s="5" t="inlineStr">
        <is>
          <t>Ambience Mall</t>
        </is>
      </c>
      <c r="D7" s="37" t="inlineStr">
        <is>
          <t>Gurgaon</t>
        </is>
      </c>
      <c r="E7" s="36" t="inlineStr">
        <is>
          <t>North</t>
        </is>
      </c>
      <c r="F7" s="36" t="inlineStr">
        <is>
          <t>50-60k</t>
        </is>
      </c>
    </row>
    <row r="8">
      <c r="A8" s="38" t="n">
        <v>4</v>
      </c>
      <c r="B8" s="39" t="inlineStr">
        <is>
          <t>Chandigarh</t>
        </is>
      </c>
      <c r="C8" s="40" t="inlineStr">
        <is>
          <t>Elante Mall</t>
        </is>
      </c>
      <c r="D8" s="41" t="inlineStr">
        <is>
          <t>Industrial Area</t>
        </is>
      </c>
      <c r="E8" s="38" t="inlineStr">
        <is>
          <t>North</t>
        </is>
      </c>
      <c r="F8" s="38" t="inlineStr">
        <is>
          <t>50-60k</t>
        </is>
      </c>
    </row>
    <row r="9">
      <c r="A9" s="36" t="n">
        <v>5</v>
      </c>
      <c r="B9" s="12" t="inlineStr">
        <is>
          <t>Lucknow</t>
        </is>
      </c>
      <c r="C9" s="5" t="inlineStr">
        <is>
          <t>Lulu Mall</t>
        </is>
      </c>
      <c r="D9" s="37" t="inlineStr">
        <is>
          <t>Hariharpur</t>
        </is>
      </c>
      <c r="E9" s="36" t="inlineStr">
        <is>
          <t>North</t>
        </is>
      </c>
      <c r="F9" s="36" t="inlineStr">
        <is>
          <t>40-45k</t>
        </is>
      </c>
    </row>
    <row r="10">
      <c r="A10" s="38" t="n">
        <v>6</v>
      </c>
      <c r="B10" s="39" t="inlineStr">
        <is>
          <t>Mumbai (BKC)</t>
        </is>
      </c>
      <c r="C10" s="40" t="inlineStr">
        <is>
          <t>Jio World Mall</t>
        </is>
      </c>
      <c r="D10" s="41" t="inlineStr">
        <is>
          <t>BKC</t>
        </is>
      </c>
      <c r="E10" s="38" t="inlineStr">
        <is>
          <t>West</t>
        </is>
      </c>
      <c r="F10" s="38" t="inlineStr">
        <is>
          <t>50-60k</t>
        </is>
      </c>
    </row>
    <row r="11">
      <c r="A11" s="36" t="n">
        <v>7</v>
      </c>
      <c r="B11" s="12" t="inlineStr">
        <is>
          <t>Mumbai (Lower Parel)</t>
        </is>
      </c>
      <c r="C11" s="5" t="inlineStr">
        <is>
          <t>Phoenix Palladium</t>
        </is>
      </c>
      <c r="D11" s="37" t="inlineStr">
        <is>
          <t>Lower Parel</t>
        </is>
      </c>
      <c r="E11" s="36" t="inlineStr">
        <is>
          <t>West</t>
        </is>
      </c>
      <c r="F11" s="36" t="inlineStr">
        <is>
          <t>40-45k</t>
        </is>
      </c>
    </row>
    <row r="12">
      <c r="A12" s="38" t="n">
        <v>8</v>
      </c>
      <c r="B12" s="39" t="inlineStr">
        <is>
          <t>Ahmedabad</t>
        </is>
      </c>
      <c r="C12" s="40" t="inlineStr">
        <is>
          <t>Phoenix / Palladium</t>
        </is>
      </c>
      <c r="D12" s="41" t="inlineStr">
        <is>
          <t>Thaltej</t>
        </is>
      </c>
      <c r="E12" s="38" t="inlineStr">
        <is>
          <t>West</t>
        </is>
      </c>
      <c r="F12" s="38" t="inlineStr">
        <is>
          <t>40-45k</t>
        </is>
      </c>
    </row>
    <row r="13">
      <c r="A13" s="36" t="n">
        <v>9</v>
      </c>
      <c r="B13" s="12" t="inlineStr">
        <is>
          <t>Nagpur</t>
        </is>
      </c>
      <c r="C13" s="5" t="inlineStr">
        <is>
          <t>VR Mall</t>
        </is>
      </c>
      <c r="D13" s="37" t="inlineStr">
        <is>
          <t>Untkhana</t>
        </is>
      </c>
      <c r="E13" s="36" t="inlineStr">
        <is>
          <t>West</t>
        </is>
      </c>
      <c r="F13" s="36" t="inlineStr">
        <is>
          <t>30-35k</t>
        </is>
      </c>
    </row>
    <row r="14">
      <c r="A14" s="38" t="n">
        <v>10</v>
      </c>
      <c r="B14" s="39" t="inlineStr">
        <is>
          <t>Kolkata</t>
        </is>
      </c>
      <c r="C14" s="40" t="inlineStr">
        <is>
          <t>South City Mall</t>
        </is>
      </c>
      <c r="D14" s="41" t="inlineStr">
        <is>
          <t>Jadavpur</t>
        </is>
      </c>
      <c r="E14" s="38" t="inlineStr">
        <is>
          <t>East</t>
        </is>
      </c>
      <c r="F14" s="38" t="inlineStr">
        <is>
          <t>50-60k</t>
        </is>
      </c>
    </row>
    <row r="15">
      <c r="A15" s="36" t="n">
        <v>11</v>
      </c>
      <c r="B15" s="12" t="inlineStr">
        <is>
          <t>Chennai</t>
        </is>
      </c>
      <c r="C15" s="5" t="inlineStr">
        <is>
          <t>Phoenix Marketcity</t>
        </is>
      </c>
      <c r="D15" s="37" t="inlineStr">
        <is>
          <t>Velachery</t>
        </is>
      </c>
      <c r="E15" s="36" t="inlineStr">
        <is>
          <t>South</t>
        </is>
      </c>
      <c r="F15" s="36" t="inlineStr">
        <is>
          <t>50-60k</t>
        </is>
      </c>
    </row>
    <row r="16">
      <c r="A16" s="38" t="n">
        <v>12</v>
      </c>
      <c r="B16" s="39" t="inlineStr">
        <is>
          <t>Bengaluru</t>
        </is>
      </c>
      <c r="C16" s="40" t="inlineStr">
        <is>
          <t>Phoenix Marketcity</t>
        </is>
      </c>
      <c r="D16" s="41" t="inlineStr">
        <is>
          <t>Whitefield</t>
        </is>
      </c>
      <c r="E16" s="38" t="inlineStr">
        <is>
          <t>South</t>
        </is>
      </c>
      <c r="F16" s="38" t="inlineStr">
        <is>
          <t>50-60k</t>
        </is>
      </c>
    </row>
    <row r="17">
      <c r="A17" s="36" t="n">
        <v>13</v>
      </c>
      <c r="B17" s="12" t="inlineStr">
        <is>
          <t>Hyderabad</t>
        </is>
      </c>
      <c r="C17" s="5" t="inlineStr">
        <is>
          <t>Phoenix / Sarath City</t>
        </is>
      </c>
      <c r="D17" s="37" t="inlineStr">
        <is>
          <t>Gachibowli</t>
        </is>
      </c>
      <c r="E17" s="36" t="inlineStr">
        <is>
          <t>South</t>
        </is>
      </c>
      <c r="F17" s="36" t="inlineStr">
        <is>
          <t>50-60k</t>
        </is>
      </c>
    </row>
    <row r="18">
      <c r="A18" s="38" t="n">
        <v>14</v>
      </c>
      <c r="B18" s="39" t="inlineStr">
        <is>
          <t>Kochi</t>
        </is>
      </c>
      <c r="C18" s="40" t="inlineStr">
        <is>
          <t>Lulu International Mall</t>
        </is>
      </c>
      <c r="D18" s="41" t="inlineStr">
        <is>
          <t>Ernakulam</t>
        </is>
      </c>
      <c r="E18" s="38" t="inlineStr">
        <is>
          <t>South</t>
        </is>
      </c>
      <c r="F18" s="38" t="inlineStr">
        <is>
          <t>50-60k</t>
        </is>
      </c>
    </row>
    <row r="19">
      <c r="A19" s="8" t="n"/>
      <c r="B19" s="3" t="inlineStr">
        <is>
          <t>Total locations</t>
        </is>
      </c>
      <c r="C19" s="8" t="n"/>
      <c r="D19" s="8" t="n"/>
      <c r="E19" s="42">
        <f>COUNTA(B5:B18)</f>
        <v/>
      </c>
      <c r="F19" s="8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7" customWidth="1" min="4" max="4"/>
    <col width="7" customWidth="1" min="5" max="5"/>
    <col width="20" customWidth="1" min="6" max="6"/>
    <col width="34" customWidth="1" min="7" max="7"/>
  </cols>
  <sheetData>
    <row r="1" ht="30" customHeight="1">
      <c r="A1" s="35" t="inlineStr">
        <is>
          <t>Setup Cost  -  Kiosk Design, Build &amp; Install</t>
        </is>
      </c>
    </row>
    <row r="2" ht="16" customHeight="1">
      <c r="A2" s="34" t="inlineStr">
        <is>
          <t>8 ft x 8 ft kiosk. Headline build cost per execution-agency quote (Rs 3,50,000/kiosk); component split below is indicative.</t>
        </is>
      </c>
    </row>
    <row r="4">
      <c r="A4" s="9" t="inlineStr">
        <is>
          <t>#</t>
        </is>
      </c>
      <c r="B4" s="8" t="inlineStr">
        <is>
          <t>Component</t>
        </is>
      </c>
      <c r="C4" s="8" t="inlineStr">
        <is>
          <t>Specification / Scope</t>
        </is>
      </c>
      <c r="D4" s="9" t="inlineStr">
        <is>
          <t>Unit</t>
        </is>
      </c>
      <c r="E4" s="9" t="inlineStr">
        <is>
          <t>Qty</t>
        </is>
      </c>
      <c r="F4" s="8" t="inlineStr">
        <is>
          <t>Amount / kiosk (Rs)</t>
        </is>
      </c>
      <c r="G4" s="8" t="inlineStr">
        <is>
          <t>Remarks</t>
        </is>
      </c>
    </row>
    <row r="5">
      <c r="A5" s="36" t="n">
        <v>1</v>
      </c>
      <c r="B5" s="12" t="inlineStr">
        <is>
          <t>Structure &amp; framework</t>
        </is>
      </c>
      <c r="C5" s="43" t="inlineStr">
        <is>
          <t>MS/GI frame, base platform, carcass</t>
        </is>
      </c>
      <c r="D5" s="36" t="inlineStr">
        <is>
          <t>Lot</t>
        </is>
      </c>
      <c r="E5" s="36" t="n">
        <v>1</v>
      </c>
      <c r="F5" s="44" t="n">
        <v>55000</v>
      </c>
      <c r="G5" s="15" t="inlineStr">
        <is>
          <t>Core structure</t>
        </is>
      </c>
    </row>
    <row r="6">
      <c r="A6" s="36" t="n">
        <v>2</v>
      </c>
      <c r="B6" s="12" t="inlineStr">
        <is>
          <t>Body cladding &amp; finish</t>
        </is>
      </c>
      <c r="C6" s="43" t="inlineStr">
        <is>
          <t>Warm-white PU-lacquer panels, fluted detailing</t>
        </is>
      </c>
      <c r="D6" s="36" t="inlineStr">
        <is>
          <t>Lot</t>
        </is>
      </c>
      <c r="E6" s="36" t="n">
        <v>1</v>
      </c>
      <c r="F6" s="44" t="n">
        <v>60000</v>
      </c>
      <c r="G6" s="15" t="inlineStr">
        <is>
          <t>Body finish</t>
        </is>
      </c>
    </row>
    <row r="7">
      <c r="A7" s="36" t="n">
        <v>3</v>
      </c>
      <c r="B7" s="12" t="inlineStr">
        <is>
          <t>Counters</t>
        </is>
      </c>
      <c r="C7" s="43" t="inlineStr">
        <is>
          <t>Black-stone tops, lockable storage bodies</t>
        </is>
      </c>
      <c r="D7" s="36" t="inlineStr">
        <is>
          <t>Lot</t>
        </is>
      </c>
      <c r="E7" s="36" t="n">
        <v>1</v>
      </c>
      <c r="F7" s="44" t="n">
        <v>45000</v>
      </c>
      <c r="G7" s="15" t="inlineStr">
        <is>
          <t>Display + billing counters</t>
        </is>
      </c>
    </row>
    <row r="8">
      <c r="A8" s="36" t="n">
        <v>4</v>
      </c>
      <c r="B8" s="12" t="inlineStr">
        <is>
          <t>Brass gallery shelving &amp; display</t>
        </is>
      </c>
      <c r="C8" s="43" t="inlineStr">
        <is>
          <t>Backlit floating shelves, brass fronts</t>
        </is>
      </c>
      <c r="D8" s="36" t="inlineStr">
        <is>
          <t>Lot</t>
        </is>
      </c>
      <c r="E8" s="36" t="n">
        <v>1</v>
      </c>
      <c r="F8" s="44" t="n">
        <v>45000</v>
      </c>
      <c r="G8" s="15" t="inlineStr">
        <is>
          <t>Merchandising</t>
        </is>
      </c>
    </row>
    <row r="9">
      <c r="A9" s="36" t="n">
        <v>5</v>
      </c>
      <c r="B9" s="12" t="inlineStr">
        <is>
          <t>Backlit brand signage</t>
        </is>
      </c>
      <c r="C9" s="43" t="inlineStr">
        <is>
          <t>Illuminated seal wall, fascia, backlit counter fronts</t>
        </is>
      </c>
      <c r="D9" s="36" t="inlineStr">
        <is>
          <t>Lot</t>
        </is>
      </c>
      <c r="E9" s="36" t="n">
        <v>1</v>
      </c>
      <c r="F9" s="44" t="n">
        <v>40000</v>
      </c>
      <c r="G9" s="15" t="inlineStr">
        <is>
          <t>Hero signage</t>
        </is>
      </c>
    </row>
    <row r="10">
      <c r="A10" s="36" t="n">
        <v>6</v>
      </c>
      <c r="B10" s="12" t="inlineStr">
        <is>
          <t>Lighting</t>
        </is>
      </c>
      <c r="C10" s="43" t="inlineStr">
        <is>
          <t>Warm LED strips, drivers, downlights</t>
        </is>
      </c>
      <c r="D10" s="36" t="inlineStr">
        <is>
          <t>Lot</t>
        </is>
      </c>
      <c r="E10" s="36" t="n">
        <v>1</v>
      </c>
      <c r="F10" s="44" t="n">
        <v>25000</v>
      </c>
      <c r="G10" s="15" t="inlineStr">
        <is>
          <t>3000K</t>
        </is>
      </c>
    </row>
    <row r="11">
      <c r="A11" s="36" t="n">
        <v>7</v>
      </c>
      <c r="B11" s="12" t="inlineStr">
        <is>
          <t>Electrical</t>
        </is>
      </c>
      <c r="C11" s="43" t="inlineStr">
        <is>
          <t>Concealed wiring, DB/MCB, sockets</t>
        </is>
      </c>
      <c r="D11" s="36" t="inlineStr">
        <is>
          <t>Lot</t>
        </is>
      </c>
      <c r="E11" s="36" t="n">
        <v>1</v>
      </c>
      <c r="F11" s="44" t="n">
        <v>15000</v>
      </c>
      <c r="G11" s="15" t="inlineStr">
        <is>
          <t>Single power drop</t>
        </is>
      </c>
    </row>
    <row r="12">
      <c r="A12" s="36" t="n">
        <v>8</v>
      </c>
      <c r="B12" s="12" t="inlineStr">
        <is>
          <t>Flooring &amp; platform</t>
        </is>
      </c>
      <c r="C12" s="43" t="inlineStr">
        <is>
          <t>Deck finish, warm-LED perimeter</t>
        </is>
      </c>
      <c r="D12" s="36" t="inlineStr">
        <is>
          <t>Lot</t>
        </is>
      </c>
      <c r="E12" s="36" t="n">
        <v>1</v>
      </c>
      <c r="F12" s="44" t="n">
        <v>18000</v>
      </c>
      <c r="G12" s="15" t="inlineStr"/>
    </row>
    <row r="13">
      <c r="A13" s="36" t="n">
        <v>9</v>
      </c>
      <c r="B13" s="12" t="inlineStr">
        <is>
          <t>Digital brand screen + stand</t>
        </is>
      </c>
      <c r="C13" s="43" t="inlineStr">
        <is>
          <t>Screen for brand film / catalogue</t>
        </is>
      </c>
      <c r="D13" s="36" t="inlineStr">
        <is>
          <t>Nos</t>
        </is>
      </c>
      <c r="E13" s="36" t="n">
        <v>1</v>
      </c>
      <c r="F13" s="44" t="n">
        <v>12000</v>
      </c>
      <c r="G13" s="15" t="inlineStr"/>
    </row>
    <row r="14">
      <c r="A14" s="36" t="n">
        <v>10</v>
      </c>
      <c r="B14" s="12" t="inlineStr">
        <is>
          <t>Furniture</t>
        </is>
      </c>
      <c r="C14" s="43" t="inlineStr">
        <is>
          <t>Consultation table + 4 chairs</t>
        </is>
      </c>
      <c r="D14" s="36" t="inlineStr">
        <is>
          <t>Set</t>
        </is>
      </c>
      <c r="E14" s="36" t="n">
        <v>1</v>
      </c>
      <c r="F14" s="44" t="n">
        <v>15000</v>
      </c>
      <c r="G14" s="15" t="inlineStr"/>
    </row>
    <row r="15">
      <c r="A15" s="36" t="n">
        <v>11</v>
      </c>
      <c r="B15" s="12" t="inlineStr">
        <is>
          <t>Graphics, styling &amp; props</t>
        </is>
      </c>
      <c r="C15" s="43" t="inlineStr">
        <is>
          <t>Vinyls, Diwali dressing</t>
        </is>
      </c>
      <c r="D15" s="36" t="inlineStr">
        <is>
          <t>Lot</t>
        </is>
      </c>
      <c r="E15" s="36" t="n">
        <v>1</v>
      </c>
      <c r="F15" s="44" t="n">
        <v>8000</v>
      </c>
      <c r="G15" s="15" t="inlineStr"/>
    </row>
    <row r="16">
      <c r="A16" s="36" t="n">
        <v>12</v>
      </c>
      <c r="B16" s="12" t="inlineStr">
        <is>
          <t>Transport, install &amp; dismantle</t>
        </is>
      </c>
      <c r="C16" s="43" t="inlineStr">
        <is>
          <t>Delivery, on-site setup, dismantle</t>
        </is>
      </c>
      <c r="D16" s="36" t="inlineStr">
        <is>
          <t>Lot</t>
        </is>
      </c>
      <c r="E16" s="36" t="n">
        <v>1</v>
      </c>
      <c r="F16" s="44" t="n">
        <v>12000</v>
      </c>
      <c r="G16" s="15" t="inlineStr">
        <is>
          <t>3-day buffer before go-live</t>
        </is>
      </c>
    </row>
    <row r="17">
      <c r="A17" s="8" t="n"/>
      <c r="B17" s="3" t="inlineStr">
        <is>
          <t>Per-kiosk setup total</t>
        </is>
      </c>
      <c r="C17" s="8" t="n"/>
      <c r="D17" s="8" t="n"/>
      <c r="E17" s="8" t="n"/>
      <c r="F17" s="45">
        <f>SUM(F5:F16)</f>
        <v/>
      </c>
      <c r="G17" s="8" t="n"/>
    </row>
    <row r="18">
      <c r="A18" s="29" t="n"/>
      <c r="B18" s="46" t="inlineStr">
        <is>
          <t>Programme setup (x 14 kiosks)</t>
        </is>
      </c>
      <c r="C18" s="29" t="n"/>
      <c r="D18" s="29" t="n"/>
      <c r="E18" s="47">
        <f>Summary!$C$4</f>
        <v/>
      </c>
      <c r="F18" s="48">
        <f>F17*Summary!$C$4</f>
        <v/>
      </c>
      <c r="G18" s="29" t="n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8" customWidth="1" min="4" max="4"/>
    <col width="12" customWidth="1" min="5" max="5"/>
    <col width="12" customWidth="1" min="6" max="6"/>
    <col width="20" customWidth="1" min="7" max="7"/>
    <col width="32" customWidth="1" min="8" max="8"/>
  </cols>
  <sheetData>
    <row r="1" ht="30" customHeight="1">
      <c r="A1" s="35" t="inlineStr">
        <is>
          <t>Manpower Cost</t>
        </is>
      </c>
    </row>
    <row r="2" ht="16" customHeight="1">
      <c r="A2" s="34" t="inlineStr">
        <is>
          <t>Per-kiosk deployment for the operating window; city-level roles added per city. Rates per execution-agency sheet.</t>
        </is>
      </c>
    </row>
    <row r="4">
      <c r="A4" s="9" t="inlineStr">
        <is>
          <t>#</t>
        </is>
      </c>
      <c r="B4" s="8" t="inlineStr">
        <is>
          <t>Role</t>
        </is>
      </c>
      <c r="C4" s="8" t="inlineStr">
        <is>
          <t>Basis</t>
        </is>
      </c>
      <c r="D4" s="9" t="inlineStr">
        <is>
          <t>Count</t>
        </is>
      </c>
      <c r="E4" s="8" t="inlineStr">
        <is>
          <t>Rate (Rs)</t>
        </is>
      </c>
      <c r="F4" s="9" t="inlineStr">
        <is>
          <t>Days / Units</t>
        </is>
      </c>
      <c r="G4" s="8" t="inlineStr">
        <is>
          <t>Amount / kiosk (Rs)</t>
        </is>
      </c>
      <c r="H4" s="8" t="inlineStr">
        <is>
          <t>Remarks</t>
        </is>
      </c>
    </row>
    <row r="5">
      <c r="A5" s="36" t="n">
        <v>1</v>
      </c>
      <c r="B5" s="12" t="inlineStr">
        <is>
          <t>Sales Executive</t>
        </is>
      </c>
      <c r="C5" s="36" t="inlineStr">
        <is>
          <t>Daily</t>
        </is>
      </c>
      <c r="D5" s="49" t="n">
        <v>5</v>
      </c>
      <c r="E5" s="44" t="n">
        <v>1600</v>
      </c>
      <c r="F5" s="49" t="n">
        <v>45</v>
      </c>
      <c r="G5" s="14">
        <f>D5*E5*F5</f>
        <v/>
      </c>
      <c r="H5" s="15" t="inlineStr">
        <is>
          <t>2 also handle billing; female, 22-25, fluent English</t>
        </is>
      </c>
    </row>
    <row r="6">
      <c r="A6" s="36" t="n">
        <v>2</v>
      </c>
      <c r="B6" s="12" t="inlineStr">
        <is>
          <t>Helper</t>
        </is>
      </c>
      <c r="C6" s="36" t="inlineStr">
        <is>
          <t>Daily</t>
        </is>
      </c>
      <c r="D6" s="49" t="n">
        <v>2</v>
      </c>
      <c r="E6" s="44" t="n">
        <v>1200</v>
      </c>
      <c r="F6" s="49" t="n">
        <v>42</v>
      </c>
      <c r="G6" s="14">
        <f>D6*E6*F6</f>
        <v/>
      </c>
      <c r="H6" s="15" t="inlineStr">
        <is>
          <t>Housekeeping, stock handling, refill</t>
        </is>
      </c>
    </row>
    <row r="7">
      <c r="A7" s="36" t="n">
        <v>3</v>
      </c>
      <c r="B7" s="12" t="inlineStr">
        <is>
          <t>Supervisor</t>
        </is>
      </c>
      <c r="C7" s="36" t="inlineStr">
        <is>
          <t>Daily</t>
        </is>
      </c>
      <c r="D7" s="49" t="n">
        <v>1</v>
      </c>
      <c r="E7" s="44" t="n">
        <v>1800</v>
      </c>
      <c r="F7" s="49" t="n">
        <v>42</v>
      </c>
      <c r="G7" s="14">
        <f>D7*E7*F7</f>
        <v/>
      </c>
      <c r="H7" s="15" t="inlineStr">
        <is>
          <t>Day-to-day kiosk operations</t>
        </is>
      </c>
    </row>
    <row r="8">
      <c r="A8" s="36" t="n">
        <v>4</v>
      </c>
      <c r="B8" s="12" t="inlineStr">
        <is>
          <t>Training Support</t>
        </is>
      </c>
      <c r="C8" s="36" t="inlineStr">
        <is>
          <t>Lump</t>
        </is>
      </c>
      <c r="D8" s="49" t="n">
        <v>1</v>
      </c>
      <c r="E8" s="44" t="n">
        <v>15000</v>
      </c>
      <c r="F8" s="49" t="n">
        <v>1</v>
      </c>
      <c r="G8" s="14">
        <f>D8*E8*F8</f>
        <v/>
      </c>
      <c r="H8" s="15" t="inlineStr">
        <is>
          <t>1-day product &amp; sales training</t>
        </is>
      </c>
    </row>
    <row r="9">
      <c r="A9" s="36" t="n">
        <v>5</v>
      </c>
      <c r="B9" s="12" t="inlineStr">
        <is>
          <t>Store Operations &amp; Cash</t>
        </is>
      </c>
      <c r="C9" s="36" t="inlineStr">
        <is>
          <t>Lump</t>
        </is>
      </c>
      <c r="D9" s="49" t="n">
        <v>1</v>
      </c>
      <c r="E9" s="44" t="n">
        <v>10000</v>
      </c>
      <c r="F9" s="49" t="n">
        <v>1</v>
      </c>
      <c r="G9" s="14">
        <f>D9*E9*F9</f>
        <v/>
      </c>
      <c r="H9" s="15" t="inlineStr">
        <is>
          <t>Open/close, billing, cash, reconciliation</t>
        </is>
      </c>
    </row>
    <row r="10">
      <c r="A10" s="36" t="n">
        <v>6</v>
      </c>
      <c r="B10" s="12" t="inlineStr">
        <is>
          <t>Reporting</t>
        </is>
      </c>
      <c r="C10" s="36" t="inlineStr">
        <is>
          <t>Daily</t>
        </is>
      </c>
      <c r="D10" s="49" t="n">
        <v>1</v>
      </c>
      <c r="E10" s="44" t="n">
        <v>150</v>
      </c>
      <c r="F10" s="49" t="n">
        <v>45</v>
      </c>
      <c r="G10" s="14">
        <f>D10*E10*F10</f>
        <v/>
      </c>
      <c r="H10" s="15" t="inlineStr">
        <is>
          <t>Sales/footfall/stock/attendance reports</t>
        </is>
      </c>
    </row>
    <row r="11">
      <c r="A11" s="18" t="n"/>
      <c r="B11" s="18" t="inlineStr">
        <is>
          <t>Per-kiosk manpower subtotal</t>
        </is>
      </c>
      <c r="C11" s="18" t="n"/>
      <c r="D11" s="18" t="n"/>
      <c r="E11" s="18" t="n"/>
      <c r="F11" s="18" t="n"/>
      <c r="G11" s="25">
        <f>SUM(G5:G10)</f>
        <v/>
      </c>
      <c r="H11" s="18" t="n"/>
    </row>
    <row r="13">
      <c r="A13" s="8" t="n"/>
      <c r="B13" s="8" t="inlineStr">
        <is>
          <t>City-level roles</t>
        </is>
      </c>
      <c r="C13" s="8" t="n"/>
      <c r="D13" s="8" t="n"/>
      <c r="E13" s="8" t="n"/>
      <c r="F13" s="8" t="n"/>
      <c r="G13" s="8" t="n"/>
      <c r="H13" s="8" t="n"/>
    </row>
    <row r="14">
      <c r="A14" s="36" t="n">
        <v>1</v>
      </c>
      <c r="B14" s="12" t="inlineStr">
        <is>
          <t>City Manager</t>
        </is>
      </c>
      <c r="C14" s="36" t="inlineStr">
        <is>
          <t>Monthly</t>
        </is>
      </c>
      <c r="D14" s="49" t="n">
        <v>1</v>
      </c>
      <c r="E14" s="44" t="n">
        <v>50000</v>
      </c>
      <c r="F14" s="49" t="n">
        <v>1</v>
      </c>
      <c r="G14" s="14">
        <f>D14*E14*F14</f>
        <v/>
      </c>
      <c r="H14" s="15" t="inlineStr">
        <is>
          <t>1 per city (cities with &gt;2 kiosks)</t>
        </is>
      </c>
    </row>
    <row r="15">
      <c r="A15" s="36" t="n">
        <v>2</v>
      </c>
      <c r="B15" s="12" t="inlineStr">
        <is>
          <t>Trained Backup Bench</t>
        </is>
      </c>
      <c r="C15" s="36" t="inlineStr">
        <is>
          <t>Lump</t>
        </is>
      </c>
      <c r="D15" s="49" t="n">
        <v>1</v>
      </c>
      <c r="E15" s="44" t="n">
        <v>20000</v>
      </c>
      <c r="F15" s="49" t="n">
        <v>1</v>
      </c>
      <c r="G15" s="14">
        <f>D15*E15*F15</f>
        <v/>
      </c>
      <c r="H15" s="15" t="inlineStr">
        <is>
          <t>Replacement cover; per city</t>
        </is>
      </c>
    </row>
    <row r="16">
      <c r="A16" s="18" t="n"/>
      <c r="B16" s="18" t="inlineStr">
        <is>
          <t>Per-city subtotal</t>
        </is>
      </c>
      <c r="C16" s="18" t="n"/>
      <c r="D16" s="18" t="n"/>
      <c r="E16" s="18" t="n"/>
      <c r="F16" s="18" t="n"/>
      <c r="G16" s="25">
        <f>SUM(G14:G15)</f>
        <v/>
      </c>
      <c r="H16" s="18" t="n"/>
    </row>
    <row r="17">
      <c r="A17" s="29" t="n"/>
      <c r="B17" s="46" t="inlineStr">
        <is>
          <t>Programme manpower  (per-kiosk + per-city) x 14</t>
        </is>
      </c>
      <c r="C17" s="29" t="n"/>
      <c r="D17" s="29" t="n"/>
      <c r="E17" s="29" t="n"/>
      <c r="F17" s="29" t="n"/>
      <c r="G17" s="48">
        <f>(G11+G16)*Summary!$C$4</f>
        <v/>
      </c>
      <c r="H17" s="29" t="n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16" customWidth="1" min="4" max="4"/>
    <col width="15" customWidth="1" min="5" max="5"/>
    <col width="7" customWidth="1" min="6" max="6"/>
    <col width="18" customWidth="1" min="7" max="7"/>
    <col width="16" customWidth="1" min="8" max="8"/>
    <col width="30" customWidth="1" min="9" max="9"/>
  </cols>
  <sheetData>
    <row r="1" ht="30" customHeight="1">
      <c r="A1" s="35" t="inlineStr">
        <is>
          <t>Location Charges  -  Mall Space</t>
        </is>
      </c>
    </row>
    <row r="2" ht="16" customHeight="1">
      <c r="A2" s="34" t="inlineStr">
        <is>
          <t>Mall activation rate card (3-day Fri-Sun, ex-GST). 6-week festive licence to be negotiated (left blank). GST 18% extra.</t>
        </is>
      </c>
    </row>
    <row r="4" ht="30" customHeight="1">
      <c r="A4" s="50" t="inlineStr">
        <is>
          <t>#</t>
        </is>
      </c>
      <c r="B4" s="51" t="inlineStr">
        <is>
          <t>City</t>
        </is>
      </c>
      <c r="C4" s="51" t="inlineStr">
        <is>
          <t>Mall</t>
        </is>
      </c>
      <c r="D4" s="51" t="inlineStr">
        <is>
          <t>Activity Location</t>
        </is>
      </c>
      <c r="E4" s="51" t="inlineStr">
        <is>
          <t>Weekend Footfall</t>
        </is>
      </c>
      <c r="F4" s="50" t="inlineStr">
        <is>
          <t>Size</t>
        </is>
      </c>
      <c r="G4" s="50" t="inlineStr">
        <is>
          <t>3-day rate (Rs, ex-GST)</t>
        </is>
      </c>
      <c r="H4" s="50" t="inlineStr">
        <is>
          <t>6-wk licence (Rs)</t>
        </is>
      </c>
      <c r="I4" s="51" t="inlineStr">
        <is>
          <t>Remarks</t>
        </is>
      </c>
    </row>
    <row r="5">
      <c r="A5" s="36" t="n">
        <v>1</v>
      </c>
      <c r="B5" s="12" t="inlineStr">
        <is>
          <t>Delhi NCR</t>
        </is>
      </c>
      <c r="C5" s="52" t="inlineStr">
        <is>
          <t>Select City Walk</t>
        </is>
      </c>
      <c r="D5" s="37" t="inlineStr">
        <is>
          <t>Mac Atrium</t>
        </is>
      </c>
      <c r="E5" s="36" t="inlineStr">
        <is>
          <t>50-60k</t>
        </is>
      </c>
      <c r="F5" s="36" t="inlineStr">
        <is>
          <t>8x8ft</t>
        </is>
      </c>
      <c r="G5" s="44" t="n">
        <v>840000</v>
      </c>
      <c r="H5" s="44" t="n"/>
      <c r="I5" s="15" t="inlineStr">
        <is>
          <t>Incl. Police &amp; MCD permission</t>
        </is>
      </c>
    </row>
    <row r="6">
      <c r="A6" s="36" t="n">
        <v>2</v>
      </c>
      <c r="B6" s="12" t="inlineStr">
        <is>
          <t>Noida</t>
        </is>
      </c>
      <c r="C6" s="52" t="inlineStr">
        <is>
          <t>DLF Mall of India</t>
        </is>
      </c>
      <c r="D6" s="37" t="inlineStr">
        <is>
          <t>Main Atrium</t>
        </is>
      </c>
      <c r="E6" s="36" t="inlineStr">
        <is>
          <t>50-60k</t>
        </is>
      </c>
      <c r="F6" s="36" t="inlineStr">
        <is>
          <t>8x8ft</t>
        </is>
      </c>
      <c r="G6" s="44" t="n">
        <v>728000</v>
      </c>
      <c r="H6" s="44" t="n"/>
      <c r="I6" s="15" t="inlineStr">
        <is>
          <t>DLF do's &amp; don'ts apply</t>
        </is>
      </c>
    </row>
    <row r="7">
      <c r="A7" s="36" t="n">
        <v>3</v>
      </c>
      <c r="B7" s="12" t="inlineStr">
        <is>
          <t>Gurgaon</t>
        </is>
      </c>
      <c r="C7" s="52" t="inlineStr">
        <is>
          <t>Ambience Mall</t>
        </is>
      </c>
      <c r="D7" s="37" t="inlineStr">
        <is>
          <t>Uniqlo Atrium</t>
        </is>
      </c>
      <c r="E7" s="36" t="inlineStr">
        <is>
          <t>50-60k</t>
        </is>
      </c>
      <c r="F7" s="36" t="inlineStr">
        <is>
          <t>8x8ft</t>
        </is>
      </c>
      <c r="G7" s="44" t="n">
        <v>840000</v>
      </c>
      <c r="H7" s="44" t="n"/>
      <c r="I7" s="15" t="inlineStr">
        <is>
          <t>Incl. Police &amp; MCG permission</t>
        </is>
      </c>
    </row>
    <row r="8">
      <c r="A8" s="36" t="n">
        <v>4</v>
      </c>
      <c r="B8" s="12" t="inlineStr">
        <is>
          <t>Chandigarh</t>
        </is>
      </c>
      <c r="C8" s="52" t="inlineStr">
        <is>
          <t>Elante Mall</t>
        </is>
      </c>
      <c r="D8" s="37" t="inlineStr">
        <is>
          <t>Atrium</t>
        </is>
      </c>
      <c r="E8" s="36" t="inlineStr">
        <is>
          <t>50-60k</t>
        </is>
      </c>
      <c r="F8" s="36" t="inlineStr">
        <is>
          <t>8x8ft</t>
        </is>
      </c>
      <c r="G8" s="44" t="n">
        <v>728000</v>
      </c>
      <c r="H8" s="44" t="n"/>
      <c r="I8" s="15" t="inlineStr"/>
    </row>
    <row r="9">
      <c r="A9" s="36" t="n">
        <v>5</v>
      </c>
      <c r="B9" s="12" t="inlineStr">
        <is>
          <t>Lucknow</t>
        </is>
      </c>
      <c r="C9" s="52" t="inlineStr">
        <is>
          <t>Lulu Mall</t>
        </is>
      </c>
      <c r="D9" s="37" t="inlineStr">
        <is>
          <t>Atrium</t>
        </is>
      </c>
      <c r="E9" s="36" t="inlineStr">
        <is>
          <t>40-45k</t>
        </is>
      </c>
      <c r="F9" s="36" t="inlineStr">
        <is>
          <t>8x8ft</t>
        </is>
      </c>
      <c r="G9" s="44" t="n">
        <v>532000</v>
      </c>
      <c r="H9" s="44" t="n"/>
      <c r="I9" s="15" t="inlineStr"/>
    </row>
    <row r="10">
      <c r="A10" s="36" t="n">
        <v>6</v>
      </c>
      <c r="B10" s="12" t="inlineStr">
        <is>
          <t>Mumbai (BKC)</t>
        </is>
      </c>
      <c r="C10" s="52" t="inlineStr">
        <is>
          <t>Jio World Drive</t>
        </is>
      </c>
      <c r="D10" s="37" t="inlineStr">
        <is>
          <t>GF Atrium</t>
        </is>
      </c>
      <c r="E10" s="36" t="inlineStr">
        <is>
          <t>50-60k</t>
        </is>
      </c>
      <c r="F10" s="36" t="inlineStr">
        <is>
          <t>8x8ft</t>
        </is>
      </c>
      <c r="G10" s="44" t="n">
        <v>784000</v>
      </c>
      <c r="H10" s="44" t="n"/>
      <c r="I10" s="15" t="inlineStr">
        <is>
          <t>Incl. Police &amp; BMC permission</t>
        </is>
      </c>
    </row>
    <row r="11">
      <c r="A11" s="36" t="n">
        <v>7</v>
      </c>
      <c r="B11" s="12" t="inlineStr">
        <is>
          <t>Mumbai (Lower Parel)</t>
        </is>
      </c>
      <c r="C11" s="52" t="inlineStr">
        <is>
          <t>Phoenix Palladium</t>
        </is>
      </c>
      <c r="D11" s="37" t="inlineStr">
        <is>
          <t>Courtyard (open)</t>
        </is>
      </c>
      <c r="E11" s="36" t="inlineStr">
        <is>
          <t>40-45k</t>
        </is>
      </c>
      <c r="F11" s="36" t="inlineStr">
        <is>
          <t>8x8ft</t>
        </is>
      </c>
      <c r="G11" s="44" t="n">
        <v>840000</v>
      </c>
      <c r="H11" s="44" t="n"/>
      <c r="I11" s="15" t="inlineStr">
        <is>
          <t>Incl. Police &amp; BMC permission</t>
        </is>
      </c>
    </row>
    <row r="12">
      <c r="A12" s="36" t="n">
        <v>8</v>
      </c>
      <c r="B12" s="12" t="inlineStr">
        <is>
          <t>Ahmedabad</t>
        </is>
      </c>
      <c r="C12" s="52" t="inlineStr">
        <is>
          <t>Palladium Ahmedabad</t>
        </is>
      </c>
      <c r="D12" s="37" t="inlineStr">
        <is>
          <t>Atrium</t>
        </is>
      </c>
      <c r="E12" s="36" t="inlineStr">
        <is>
          <t>40-45k</t>
        </is>
      </c>
      <c r="F12" s="36" t="inlineStr">
        <is>
          <t>8x8ft</t>
        </is>
      </c>
      <c r="G12" s="44" t="n">
        <v>784000</v>
      </c>
      <c r="H12" s="44" t="n"/>
      <c r="I12" s="15" t="inlineStr"/>
    </row>
    <row r="13">
      <c r="A13" s="36" t="n">
        <v>9</v>
      </c>
      <c r="B13" s="12" t="inlineStr">
        <is>
          <t>Nagpur</t>
        </is>
      </c>
      <c r="C13" s="52" t="inlineStr">
        <is>
          <t>VR Mall</t>
        </is>
      </c>
      <c r="D13" s="37" t="inlineStr">
        <is>
          <t>Atrium</t>
        </is>
      </c>
      <c r="E13" s="36" t="inlineStr">
        <is>
          <t>30-35k</t>
        </is>
      </c>
      <c r="F13" s="36" t="inlineStr">
        <is>
          <t>8x8ft</t>
        </is>
      </c>
      <c r="G13" s="44" t="n">
        <v>308000</v>
      </c>
      <c r="H13" s="44" t="n"/>
      <c r="I13" s="15" t="inlineStr"/>
    </row>
    <row r="14">
      <c r="A14" s="36" t="n">
        <v>10</v>
      </c>
      <c r="B14" s="12" t="inlineStr">
        <is>
          <t>Kolkata</t>
        </is>
      </c>
      <c r="C14" s="52" t="inlineStr">
        <is>
          <t>South City Mall</t>
        </is>
      </c>
      <c r="D14" s="37" t="inlineStr">
        <is>
          <t>Main Atrium</t>
        </is>
      </c>
      <c r="E14" s="36" t="inlineStr">
        <is>
          <t>50-60k</t>
        </is>
      </c>
      <c r="F14" s="36" t="inlineStr">
        <is>
          <t>8x8ft</t>
        </is>
      </c>
      <c r="G14" s="44" t="n">
        <v>336000</v>
      </c>
      <c r="H14" s="44" t="n"/>
      <c r="I14" s="15" t="inlineStr"/>
    </row>
    <row r="15">
      <c r="A15" s="36" t="n">
        <v>11</v>
      </c>
      <c r="B15" s="12" t="inlineStr">
        <is>
          <t>Chennai</t>
        </is>
      </c>
      <c r="C15" s="52" t="inlineStr">
        <is>
          <t>Phoenix Market City</t>
        </is>
      </c>
      <c r="D15" s="37" t="inlineStr">
        <is>
          <t>Atrium</t>
        </is>
      </c>
      <c r="E15" s="36" t="inlineStr">
        <is>
          <t>50-60k</t>
        </is>
      </c>
      <c r="F15" s="36" t="inlineStr">
        <is>
          <t>8x8ft</t>
        </is>
      </c>
      <c r="G15" s="44" t="n">
        <v>700000</v>
      </c>
      <c r="H15" s="44" t="n"/>
      <c r="I15" s="15" t="inlineStr"/>
    </row>
    <row r="16">
      <c r="A16" s="36" t="n">
        <v>12</v>
      </c>
      <c r="B16" s="12" t="inlineStr">
        <is>
          <t>Bengaluru</t>
        </is>
      </c>
      <c r="C16" s="52" t="inlineStr">
        <is>
          <t>Phoenix Market City</t>
        </is>
      </c>
      <c r="D16" s="37" t="inlineStr">
        <is>
          <t>Main Atrium</t>
        </is>
      </c>
      <c r="E16" s="36" t="inlineStr">
        <is>
          <t>50-60k</t>
        </is>
      </c>
      <c r="F16" s="36" t="inlineStr">
        <is>
          <t>8x8ft</t>
        </is>
      </c>
      <c r="G16" s="44" t="n">
        <v>560000</v>
      </c>
      <c r="H16" s="44" t="n"/>
      <c r="I16" s="15" t="inlineStr"/>
    </row>
    <row r="17">
      <c r="A17" s="36" t="n">
        <v>13</v>
      </c>
      <c r="B17" s="12" t="inlineStr">
        <is>
          <t>Hyderabad</t>
        </is>
      </c>
      <c r="C17" s="52" t="inlineStr">
        <is>
          <t>Sarath City Capital</t>
        </is>
      </c>
      <c r="D17" s="37" t="inlineStr">
        <is>
          <t>Main Atrium</t>
        </is>
      </c>
      <c r="E17" s="36" t="inlineStr">
        <is>
          <t>50-60k</t>
        </is>
      </c>
      <c r="F17" s="36" t="inlineStr">
        <is>
          <t>8x8ft</t>
        </is>
      </c>
      <c r="G17" s="44" t="n">
        <v>532000</v>
      </c>
      <c r="H17" s="44" t="n"/>
      <c r="I17" s="15" t="inlineStr">
        <is>
          <t>Inorbit alt: Rs 5,60,000</t>
        </is>
      </c>
    </row>
    <row r="18">
      <c r="A18" s="36" t="n">
        <v>14</v>
      </c>
      <c r="B18" s="12" t="inlineStr">
        <is>
          <t>Kochi</t>
        </is>
      </c>
      <c r="C18" s="52" t="inlineStr">
        <is>
          <t>Lulu International Mall</t>
        </is>
      </c>
      <c r="D18" s="37" t="inlineStr">
        <is>
          <t>Main Atrium</t>
        </is>
      </c>
      <c r="E18" s="36" t="inlineStr">
        <is>
          <t>50-60k</t>
        </is>
      </c>
      <c r="F18" s="36" t="inlineStr">
        <is>
          <t>8x8ft</t>
        </is>
      </c>
      <c r="G18" s="44" t="n">
        <v>840000</v>
      </c>
      <c r="H18" s="44" t="n"/>
      <c r="I18" s="15" t="inlineStr"/>
    </row>
    <row r="19">
      <c r="A19" s="8" t="n"/>
      <c r="B19" s="8" t="n"/>
      <c r="C19" s="3" t="inlineStr">
        <is>
          <t>Total mall space (3-day basis, ex-GST)</t>
        </is>
      </c>
      <c r="D19" s="8" t="n"/>
      <c r="E19" s="8" t="n"/>
      <c r="F19" s="8" t="n"/>
      <c r="G19" s="45">
        <f>SUM(G5:G18)</f>
        <v/>
      </c>
      <c r="H19" s="8" t="n"/>
      <c r="I19" s="8" t="n"/>
    </row>
    <row r="21">
      <c r="A21" s="33" t="inlineStr">
        <is>
          <t>Notes:</t>
        </is>
      </c>
    </row>
    <row r="22">
      <c r="A22" s="34" t="inlineStr">
        <is>
          <t>- Rates are 3-day (Fri-Sun) activation rates, ex-GST, per the mall rate card; non-festive - festive rates may vary.</t>
        </is>
      </c>
    </row>
    <row r="23">
      <c r="A23" s="34" t="inlineStr">
        <is>
          <t>- 6-week festive-season licence, CAM, electricity above 3-4 KVA and security deposits to be negotiated per mall (left blank).</t>
        </is>
      </c>
    </row>
    <row r="24">
      <c r="A24" s="34" t="inlineStr">
        <is>
          <t>- Booking against 100% advance; rates valid 15 days; PPL/IPRS and special permissions extra.</t>
        </is>
      </c>
    </row>
  </sheetData>
  <mergeCells count="6">
    <mergeCell ref="A2:I2"/>
    <mergeCell ref="A1:I1"/>
    <mergeCell ref="A23:I23"/>
    <mergeCell ref="A22:I22"/>
    <mergeCell ref="A24:I24"/>
    <mergeCell ref="A21:I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20" customWidth="1" min="4" max="4"/>
    <col width="12" customWidth="1" min="5" max="5"/>
    <col width="30" customWidth="1" min="6" max="6"/>
  </cols>
  <sheetData>
    <row r="1" ht="30" customHeight="1">
      <c r="A1" s="35" t="inlineStr">
        <is>
          <t>Other Elements</t>
        </is>
      </c>
    </row>
    <row r="2" ht="16" customHeight="1">
      <c r="A2" s="34" t="inlineStr">
        <is>
          <t>Logistics, insurance, operations and pass-through items (per kiosk / season). Hardware &amp; software left blank pending confirmation.</t>
        </is>
      </c>
    </row>
    <row r="4">
      <c r="A4" s="9" t="inlineStr">
        <is>
          <t>#</t>
        </is>
      </c>
      <c r="B4" s="8" t="inlineStr">
        <is>
          <t>Element</t>
        </is>
      </c>
      <c r="C4" s="8" t="inlineStr">
        <is>
          <t>Specification / Scope</t>
        </is>
      </c>
      <c r="D4" s="8" t="inlineStr">
        <is>
          <t>Amount / kiosk (Rs)</t>
        </is>
      </c>
      <c r="E4" s="8" t="inlineStr">
        <is>
          <t>Basis</t>
        </is>
      </c>
      <c r="F4" s="8" t="inlineStr">
        <is>
          <t>Remarks</t>
        </is>
      </c>
    </row>
    <row r="5">
      <c r="A5" s="36" t="n">
        <v>1</v>
      </c>
      <c r="B5" s="12" t="inlineStr">
        <is>
          <t>Logistics</t>
        </is>
      </c>
      <c r="C5" s="43" t="inlineStr">
        <is>
          <t>Stock pickup (Ghaziabad WH), first fill, replenishment, return of unsold</t>
        </is>
      </c>
      <c r="D5" s="44" t="n">
        <v>25000</v>
      </c>
      <c r="E5" s="36" t="inlineStr">
        <is>
          <t>Per season</t>
        </is>
      </c>
      <c r="F5" s="15" t="inlineStr"/>
    </row>
    <row r="6">
      <c r="A6" s="36" t="n">
        <v>2</v>
      </c>
      <c r="B6" s="12" t="inlineStr">
        <is>
          <t>Warehouse</t>
        </is>
      </c>
      <c r="C6" s="43" t="inlineStr">
        <is>
          <t>Seasonal storage / stockroom</t>
        </is>
      </c>
      <c r="D6" s="44" t="n">
        <v>15000</v>
      </c>
      <c r="E6" s="36" t="inlineStr">
        <is>
          <t>Per season</t>
        </is>
      </c>
      <c r="F6" s="15" t="inlineStr"/>
    </row>
    <row r="7">
      <c r="A7" s="36" t="n">
        <v>3</v>
      </c>
      <c r="B7" s="12" t="inlineStr">
        <is>
          <t>Insurance - Fire</t>
        </is>
      </c>
      <c r="C7" s="43" t="inlineStr">
        <is>
          <t>Mall fire insurance</t>
        </is>
      </c>
      <c r="D7" s="44" t="n">
        <v>10000</v>
      </c>
      <c r="E7" s="36" t="inlineStr">
        <is>
          <t>Per season</t>
        </is>
      </c>
      <c r="F7" s="15" t="inlineStr"/>
    </row>
    <row r="8">
      <c r="A8" s="36" t="n">
        <v>4</v>
      </c>
      <c r="B8" s="12" t="inlineStr">
        <is>
          <t>Insurance - Transport</t>
        </is>
      </c>
      <c r="C8" s="43" t="inlineStr">
        <is>
          <t>Stock in transit</t>
        </is>
      </c>
      <c r="D8" s="44" t="n">
        <v>12000</v>
      </c>
      <c r="E8" s="36" t="inlineStr">
        <is>
          <t>Per season</t>
        </is>
      </c>
      <c r="F8" s="15" t="inlineStr"/>
    </row>
    <row r="9">
      <c r="A9" s="36" t="n">
        <v>5</v>
      </c>
      <c r="B9" s="12" t="inlineStr">
        <is>
          <t>Extended Trading</t>
        </is>
      </c>
      <c r="C9" s="43" t="inlineStr">
        <is>
          <t>Extended ops in select cities (Christmas &amp; New Year)</t>
        </is>
      </c>
      <c r="D9" s="44" t="n">
        <v>20000</v>
      </c>
      <c r="E9" s="36" t="inlineStr">
        <is>
          <t>Select only</t>
        </is>
      </c>
      <c r="F9" s="15" t="inlineStr"/>
    </row>
    <row r="10">
      <c r="A10" s="36" t="n">
        <v>6</v>
      </c>
      <c r="B10" s="12" t="inlineStr">
        <is>
          <t>Dismantle &amp; Stock Return</t>
        </is>
      </c>
      <c r="C10" s="43" t="inlineStr">
        <is>
          <t>Dismantling, fixture removal, unsold-stock return</t>
        </is>
      </c>
      <c r="D10" s="44" t="n">
        <v>10000</v>
      </c>
      <c r="E10" s="36" t="inlineStr">
        <is>
          <t>Post-season</t>
        </is>
      </c>
      <c r="F10" s="15" t="inlineStr"/>
    </row>
    <row r="11">
      <c r="A11" s="36" t="n">
        <v>7</v>
      </c>
      <c r="B11" s="12" t="inlineStr">
        <is>
          <t>Final Reconciliation</t>
        </is>
      </c>
      <c r="C11" s="43" t="inlineStr">
        <is>
          <t>Commercial reconciliation &amp; season review</t>
        </is>
      </c>
      <c r="D11" s="44" t="n">
        <v>0</v>
      </c>
      <c r="E11" s="36" t="inlineStr">
        <is>
          <t>Project close</t>
        </is>
      </c>
      <c r="F11" s="15" t="inlineStr"/>
    </row>
    <row r="12">
      <c r="A12" s="36" t="n">
        <v>8</v>
      </c>
      <c r="B12" s="12" t="inlineStr">
        <is>
          <t>Billing Hardware</t>
        </is>
      </c>
      <c r="C12" s="43" t="inlineStr">
        <is>
          <t>EDC / card machine, thermal printer, tablet, stand</t>
        </is>
      </c>
      <c r="D12" s="44" t="n"/>
      <c r="E12" s="36" t="inlineStr">
        <is>
          <t>Per kiosk</t>
        </is>
      </c>
      <c r="F12" s="15" t="inlineStr">
        <is>
          <t>To be confirmed (may be provided by Doft)</t>
        </is>
      </c>
    </row>
    <row r="13">
      <c r="A13" s="36" t="n">
        <v>9</v>
      </c>
      <c r="B13" s="12" t="inlineStr">
        <is>
          <t>Billing Software</t>
        </is>
      </c>
      <c r="C13" s="43" t="inlineStr">
        <is>
          <t>POS / billing software licence</t>
        </is>
      </c>
      <c r="D13" s="44" t="n"/>
      <c r="E13" s="36" t="inlineStr">
        <is>
          <t>Per kiosk</t>
        </is>
      </c>
      <c r="F13" s="15" t="inlineStr">
        <is>
          <t>To be discussed</t>
        </is>
      </c>
    </row>
    <row r="14">
      <c r="A14" s="36" t="n">
        <v>10</v>
      </c>
      <c r="B14" s="12" t="inlineStr">
        <is>
          <t>Security Deposit (refundable)</t>
        </is>
      </c>
      <c r="C14" s="43" t="inlineStr">
        <is>
          <t>Mall / statutory deposits</t>
        </is>
      </c>
      <c r="D14" s="44" t="n"/>
      <c r="E14" s="36" t="inlineStr">
        <is>
          <t>Per mall</t>
        </is>
      </c>
      <c r="F14" s="15" t="inlineStr">
        <is>
          <t>To be confirmed; refundable</t>
        </is>
      </c>
    </row>
    <row r="15">
      <c r="A15" s="18" t="n"/>
      <c r="B15" s="18" t="inlineStr">
        <is>
          <t>Per-kiosk other subtotal</t>
        </is>
      </c>
      <c r="C15" s="18" t="n"/>
      <c r="D15" s="25">
        <f>SUM(D5:D14)</f>
        <v/>
      </c>
      <c r="E15" s="18" t="n"/>
      <c r="F15" s="18" t="n"/>
    </row>
    <row r="16">
      <c r="A16" s="29" t="n"/>
      <c r="B16" s="46" t="inlineStr">
        <is>
          <t>Programme other (x 14 kiosks)</t>
        </is>
      </c>
      <c r="C16" s="29" t="n"/>
      <c r="D16" s="48">
        <f>D15*Summary!$C$4</f>
        <v/>
      </c>
      <c r="E16" s="29" t="n"/>
      <c r="F16" s="29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2026-08-12T08:21:39Z</dcterms:created>
  <dcterms:modified xmlns:dcterms="http://purl.org/dc/terms/" xmlns:xsi="http://www.w3.org/2001/XMLSchema-instance" xsi:type="dcterms:W3CDTF">2026-08-12T08:21:39Z</dcterms:modified>
</cp:coreProperties>
</file>