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osk BOQ &amp;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E2A28"/>
      <sz val="10"/>
    </font>
    <font>
      <name val="Arial"/>
      <color rgb="002E2A28"/>
      <sz val="10"/>
    </font>
    <font>
      <name val="Arial"/>
      <b val="1"/>
      <color rgb="00FFFFFF"/>
      <sz val="10"/>
    </font>
    <font>
      <name val="Arial"/>
      <color rgb="002E2A28"/>
      <sz val="9"/>
    </font>
    <font>
      <name val="Arial"/>
      <i val="1"/>
      <color rgb="002E2A28"/>
      <sz val="8"/>
    </font>
    <font>
      <name val="Arial"/>
      <b val="1"/>
      <color rgb="002E2A28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A343A"/>
      </patternFill>
    </fill>
    <fill>
      <patternFill patternType="solid">
        <fgColor rgb="006E4A5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1EA"/>
      </patternFill>
    </fill>
    <fill>
      <patternFill patternType="solid">
        <fgColor rgb="00FFFFFF"/>
      </patternFill>
    </fill>
    <fill>
      <patternFill patternType="solid">
        <fgColor rgb="00EADFCE"/>
      </patternFill>
    </fill>
    <fill>
      <patternFill patternType="solid">
        <fgColor rgb="00D9B86B"/>
      </patternFill>
    </fill>
  </fills>
  <borders count="6">
    <border>
      <left/>
      <right/>
      <top/>
      <bottom/>
      <diagonal/>
    </border>
    <border>
      <left style="thin">
        <color rgb="00CFC4B4"/>
      </left>
      <right style="thin">
        <color rgb="00CFC4B4"/>
      </right>
      <top style="thin">
        <color rgb="00CFC4B4"/>
      </top>
      <bottom style="thin">
        <color rgb="00CFC4B4"/>
      </bottom>
    </border>
    <border>
      <left/>
      <right/>
      <top style="thin">
        <color rgb="00CFC4B4"/>
      </top>
      <bottom/>
      <diagonal/>
    </border>
    <border>
      <left/>
      <right style="thin">
        <color rgb="00CFC4B4"/>
      </right>
      <top style="thin">
        <color rgb="00CFC4B4"/>
      </top>
      <bottom/>
      <diagonal/>
    </border>
    <border>
      <left/>
      <right/>
      <top style="thin">
        <color rgb="00CFC4B4"/>
      </top>
      <bottom style="thin">
        <color rgb="00CFC4B4"/>
      </bottom>
      <diagonal/>
    </border>
    <border>
      <left/>
      <right style="thin">
        <color rgb="00CFC4B4"/>
      </right>
      <top style="thin">
        <color rgb="00CFC4B4"/>
      </top>
      <bottom style="thin">
        <color rgb="00CFC4B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0" fillId="2" borderId="4" pivotButton="0" quotePrefix="0" xfId="0"/>
    <xf numFmtId="0" fontId="0" fillId="2" borderId="5" pivotButton="0" quotePrefix="0" xfId="0"/>
    <xf numFmtId="164" fontId="9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7" customWidth="1" min="4" max="4"/>
    <col width="7" customWidth="1" min="5" max="5"/>
    <col width="12" customWidth="1" min="6" max="6"/>
    <col width="14" customWidth="1" min="7" max="7"/>
    <col width="22" customWidth="1" min="8" max="8"/>
  </cols>
  <sheetData>
    <row r="1" ht="28" customHeight="1">
      <c r="A1" s="1" t="inlineStr">
        <is>
          <t>Doft Candles — Diwali Pop-Up Kiosk  |  Material Specification &amp; Costing (per kiosk)</t>
        </is>
      </c>
    </row>
    <row r="2" ht="18" customHeight="1">
      <c r="A2" s="2" t="inlineStr">
        <is>
          <t>8 ft × 8 ft island kiosk  ·  Prepared by ProMarcom  ·  Rates are indicative placeholders — confirm against vendor quotes</t>
        </is>
      </c>
    </row>
    <row r="3">
      <c r="A3" s="3" t="inlineStr">
        <is>
          <t>Legend:</t>
        </is>
      </c>
      <c r="B3" s="4" t="inlineStr">
        <is>
          <t>Edit gold cells (Qty &amp; Rate).</t>
        </is>
      </c>
      <c r="C3" s="5" t="inlineStr"/>
      <c r="D3" s="6" t="inlineStr">
        <is>
          <t>White = formula</t>
        </is>
      </c>
      <c r="E3" s="7" t="inlineStr">
        <is>
          <t>Green = totals</t>
        </is>
      </c>
      <c r="F3" s="5" t="inlineStr"/>
      <c r="G3" s="5" t="inlineStr"/>
      <c r="H3" s="5" t="inlineStr"/>
    </row>
    <row r="5">
      <c r="A5" s="8" t="inlineStr">
        <is>
          <t>#</t>
        </is>
      </c>
      <c r="B5" s="8" t="inlineStr">
        <is>
          <t>Element</t>
        </is>
      </c>
      <c r="C5" s="8" t="inlineStr">
        <is>
          <t>Specification / Material &amp; Finish</t>
        </is>
      </c>
      <c r="D5" s="8" t="inlineStr">
        <is>
          <t>Unit</t>
        </is>
      </c>
      <c r="E5" s="8" t="inlineStr">
        <is>
          <t>Qty</t>
        </is>
      </c>
      <c r="F5" s="8" t="inlineStr">
        <is>
          <t>Rate (₹)</t>
        </is>
      </c>
      <c r="G5" s="8" t="inlineStr">
        <is>
          <t>Amount (₹)</t>
        </is>
      </c>
      <c r="H5" s="8" t="inlineStr">
        <is>
          <t>Remarks</t>
        </is>
      </c>
    </row>
    <row r="6">
      <c r="A6" s="9" t="inlineStr">
        <is>
          <t>1. Structure &amp; Framework</t>
        </is>
      </c>
    </row>
    <row r="7">
      <c r="A7" s="10" t="n">
        <v>1</v>
      </c>
      <c r="B7" s="11" t="inlineStr">
        <is>
          <t>MS / GI frame &amp; base structure</t>
        </is>
      </c>
      <c r="C7" s="11" t="inlineStr">
        <is>
          <t>Welded frame, powder-coated</t>
        </is>
      </c>
      <c r="D7" s="10" t="inlineStr">
        <is>
          <t>Lot</t>
        </is>
      </c>
      <c r="E7" s="12" t="n">
        <v>1</v>
      </c>
      <c r="F7" s="13" t="n">
        <v>18000</v>
      </c>
      <c r="G7" s="14">
        <f>E7*F7</f>
        <v/>
      </c>
      <c r="H7" s="15" t="inlineStr">
        <is>
          <t>Core structure</t>
        </is>
      </c>
    </row>
    <row r="8">
      <c r="A8" s="16" t="n">
        <v>2</v>
      </c>
      <c r="B8" s="17" t="inlineStr">
        <is>
          <t>MDF / ply carcass (18 mm)</t>
        </is>
      </c>
      <c r="C8" s="17" t="inlineStr">
        <is>
          <t>Walls, counter body</t>
        </is>
      </c>
      <c r="D8" s="16" t="inlineStr">
        <is>
          <t>sqft</t>
        </is>
      </c>
      <c r="E8" s="12" t="n">
        <v>120</v>
      </c>
      <c r="F8" s="13" t="n">
        <v>190</v>
      </c>
      <c r="G8" s="18">
        <f>E8*F8</f>
        <v/>
      </c>
      <c r="H8" s="19" t="inlineStr"/>
    </row>
    <row r="9">
      <c r="A9" s="10" t="n">
        <v>3</v>
      </c>
      <c r="B9" s="11" t="inlineStr">
        <is>
          <t>Base platform / deck framing</t>
        </is>
      </c>
      <c r="C9" s="11" t="inlineStr">
        <is>
          <t>Raised floor structure</t>
        </is>
      </c>
      <c r="D9" s="10" t="inlineStr">
        <is>
          <t>sqft</t>
        </is>
      </c>
      <c r="E9" s="12" t="n">
        <v>64</v>
      </c>
      <c r="F9" s="13" t="n">
        <v>140</v>
      </c>
      <c r="G9" s="14">
        <f>E9*F9</f>
        <v/>
      </c>
      <c r="H9" s="15" t="inlineStr"/>
    </row>
    <row r="10">
      <c r="A10" s="20" t="inlineStr"/>
      <c r="B10" s="21" t="inlineStr">
        <is>
          <t>Subtotal — Structure &amp; Framework</t>
        </is>
      </c>
      <c r="C10" s="20" t="inlineStr"/>
      <c r="D10" s="20" t="inlineStr"/>
      <c r="E10" s="20" t="inlineStr"/>
      <c r="F10" s="20" t="inlineStr"/>
      <c r="G10" s="22">
        <f>SUM(G7:G9)</f>
        <v/>
      </c>
      <c r="H10" s="20" t="inlineStr"/>
    </row>
    <row r="12">
      <c r="A12" s="9" t="inlineStr">
        <is>
          <t>2. Body Cladding &amp; Finish</t>
        </is>
      </c>
    </row>
    <row r="13">
      <c r="A13" s="16" t="n">
        <v>4</v>
      </c>
      <c r="B13" s="17" t="inlineStr">
        <is>
          <t>PU-lacquered panels (ivory)</t>
        </is>
      </c>
      <c r="C13" s="17" t="inlineStr">
        <is>
          <t>Smooth matt finish</t>
        </is>
      </c>
      <c r="D13" s="16" t="inlineStr">
        <is>
          <t>sqft</t>
        </is>
      </c>
      <c r="E13" s="12" t="n">
        <v>140</v>
      </c>
      <c r="F13" s="13" t="n">
        <v>260</v>
      </c>
      <c r="G13" s="18">
        <f>E13*F13</f>
        <v/>
      </c>
      <c r="H13" s="19" t="inlineStr">
        <is>
          <t>Body finish</t>
        </is>
      </c>
    </row>
    <row r="14">
      <c r="A14" s="10" t="n">
        <v>5</v>
      </c>
      <c r="B14" s="11" t="inlineStr">
        <is>
          <t>Fluted panel detailing</t>
        </is>
      </c>
      <c r="C14" s="11" t="inlineStr">
        <is>
          <t>Counter / side fronts</t>
        </is>
      </c>
      <c r="D14" s="10" t="inlineStr">
        <is>
          <t>sqft</t>
        </is>
      </c>
      <c r="E14" s="12" t="n">
        <v>30</v>
      </c>
      <c r="F14" s="13" t="n">
        <v>320</v>
      </c>
      <c r="G14" s="14">
        <f>E14*F14</f>
        <v/>
      </c>
      <c r="H14" s="15" t="inlineStr"/>
    </row>
    <row r="15">
      <c r="A15" s="16" t="n">
        <v>6</v>
      </c>
      <c r="B15" s="17" t="inlineStr">
        <is>
          <t>Brass edge profiles &amp; reveals</t>
        </is>
      </c>
      <c r="C15" s="17" t="inlineStr">
        <is>
          <t>Brushed finish</t>
        </is>
      </c>
      <c r="D15" s="16" t="inlineStr">
        <is>
          <t>rft</t>
        </is>
      </c>
      <c r="E15" s="12" t="n">
        <v>60</v>
      </c>
      <c r="F15" s="13" t="n">
        <v>180</v>
      </c>
      <c r="G15" s="18">
        <f>E15*F15</f>
        <v/>
      </c>
      <c r="H15" s="19" t="inlineStr"/>
    </row>
    <row r="16">
      <c r="A16" s="20" t="inlineStr"/>
      <c r="B16" s="21" t="inlineStr">
        <is>
          <t>Subtotal — Body Cladding &amp; Finish</t>
        </is>
      </c>
      <c r="C16" s="20" t="inlineStr"/>
      <c r="D16" s="20" t="inlineStr"/>
      <c r="E16" s="20" t="inlineStr"/>
      <c r="F16" s="20" t="inlineStr"/>
      <c r="G16" s="22">
        <f>SUM(G13:G15)</f>
        <v/>
      </c>
      <c r="H16" s="20" t="inlineStr"/>
    </row>
    <row r="18">
      <c r="A18" s="9" t="inlineStr">
        <is>
          <t>3. Counter</t>
        </is>
      </c>
    </row>
    <row r="19">
      <c r="A19" s="10" t="n">
        <v>7</v>
      </c>
      <c r="B19" s="11" t="inlineStr">
        <is>
          <t>Engineered-marble top (20 mm)</t>
        </is>
      </c>
      <c r="C19" s="11" t="inlineStr">
        <is>
          <t>Polished, ivory</t>
        </is>
      </c>
      <c r="D19" s="10" t="inlineStr">
        <is>
          <t>sqft</t>
        </is>
      </c>
      <c r="E19" s="12" t="n">
        <v>18</v>
      </c>
      <c r="F19" s="13" t="n">
        <v>650</v>
      </c>
      <c r="G19" s="14">
        <f>E19*F19</f>
        <v/>
      </c>
      <c r="H19" s="15" t="inlineStr">
        <is>
          <t>Billing counter</t>
        </is>
      </c>
    </row>
    <row r="20">
      <c r="A20" s="16" t="n">
        <v>8</v>
      </c>
      <c r="B20" s="17" t="inlineStr">
        <is>
          <t>Counter body &amp; storage</t>
        </is>
      </c>
      <c r="C20" s="17" t="inlineStr">
        <is>
          <t>Lockable shutters</t>
        </is>
      </c>
      <c r="D20" s="16" t="inlineStr">
        <is>
          <t>Lot</t>
        </is>
      </c>
      <c r="E20" s="12" t="n">
        <v>1</v>
      </c>
      <c r="F20" s="13" t="n">
        <v>22000</v>
      </c>
      <c r="G20" s="18">
        <f>E20*F20</f>
        <v/>
      </c>
      <c r="H20" s="19" t="inlineStr"/>
    </row>
    <row r="21">
      <c r="A21" s="10" t="n">
        <v>9</v>
      </c>
      <c r="B21" s="11" t="inlineStr">
        <is>
          <t>Under-counter drawers</t>
        </is>
      </c>
      <c r="C21" s="11" t="inlineStr">
        <is>
          <t>Soft-close</t>
        </is>
      </c>
      <c r="D21" s="10" t="inlineStr">
        <is>
          <t>Nos</t>
        </is>
      </c>
      <c r="E21" s="12" t="n">
        <v>3</v>
      </c>
      <c r="F21" s="13" t="n">
        <v>3500</v>
      </c>
      <c r="G21" s="14">
        <f>E21*F21</f>
        <v/>
      </c>
      <c r="H21" s="15" t="inlineStr"/>
    </row>
    <row r="22">
      <c r="A22" s="20" t="inlineStr"/>
      <c r="B22" s="21" t="inlineStr">
        <is>
          <t>Subtotal — Counter</t>
        </is>
      </c>
      <c r="C22" s="20" t="inlineStr"/>
      <c r="D22" s="20" t="inlineStr"/>
      <c r="E22" s="20" t="inlineStr"/>
      <c r="F22" s="20" t="inlineStr"/>
      <c r="G22" s="22">
        <f>SUM(G19:G21)</f>
        <v/>
      </c>
      <c r="H22" s="20" t="inlineStr"/>
    </row>
    <row r="24">
      <c r="A24" s="9" t="inlineStr">
        <is>
          <t>4. Display &amp; Shelving</t>
        </is>
      </c>
    </row>
    <row r="25">
      <c r="A25" s="16" t="n">
        <v>10</v>
      </c>
      <c r="B25" s="17" t="inlineStr">
        <is>
          <t>Backlit shelves / alcoves</t>
        </is>
      </c>
      <c r="C25" s="17" t="inlineStr">
        <is>
          <t>Acrylic + LED, brass front</t>
        </is>
      </c>
      <c r="D25" s="16" t="inlineStr">
        <is>
          <t>sqft</t>
        </is>
      </c>
      <c r="E25" s="12" t="n">
        <v>45</v>
      </c>
      <c r="F25" s="13" t="n">
        <v>420</v>
      </c>
      <c r="G25" s="18">
        <f>E25*F25</f>
        <v/>
      </c>
      <c r="H25" s="19" t="inlineStr">
        <is>
          <t>Merchandising</t>
        </is>
      </c>
    </row>
    <row r="26">
      <c r="A26" s="10" t="n">
        <v>11</v>
      </c>
      <c r="B26" s="11" t="inlineStr">
        <is>
          <t>Toughened glass / acrylic shelves</t>
        </is>
      </c>
      <c r="C26" s="11" t="inlineStr">
        <is>
          <t>8 mm</t>
        </is>
      </c>
      <c r="D26" s="10" t="inlineStr">
        <is>
          <t>Nos</t>
        </is>
      </c>
      <c r="E26" s="12" t="n">
        <v>9</v>
      </c>
      <c r="F26" s="13" t="n">
        <v>900</v>
      </c>
      <c r="G26" s="14">
        <f>E26*F26</f>
        <v/>
      </c>
      <c r="H26" s="15" t="inlineStr"/>
    </row>
    <row r="27">
      <c r="A27" s="16" t="n">
        <v>12</v>
      </c>
      <c r="B27" s="17" t="inlineStr">
        <is>
          <t>Display risers &amp; props</t>
        </is>
      </c>
      <c r="C27" s="17" t="inlineStr">
        <is>
          <t>Assorted</t>
        </is>
      </c>
      <c r="D27" s="16" t="inlineStr">
        <is>
          <t>Lot</t>
        </is>
      </c>
      <c r="E27" s="12" t="n">
        <v>1</v>
      </c>
      <c r="F27" s="13" t="n">
        <v>6000</v>
      </c>
      <c r="G27" s="18">
        <f>E27*F27</f>
        <v/>
      </c>
      <c r="H27" s="19" t="inlineStr"/>
    </row>
    <row r="28">
      <c r="A28" s="20" t="inlineStr"/>
      <c r="B28" s="21" t="inlineStr">
        <is>
          <t>Subtotal — Display &amp; Shelving</t>
        </is>
      </c>
      <c r="C28" s="20" t="inlineStr"/>
      <c r="D28" s="20" t="inlineStr"/>
      <c r="E28" s="20" t="inlineStr"/>
      <c r="F28" s="20" t="inlineStr"/>
      <c r="G28" s="22">
        <f>SUM(G25:G27)</f>
        <v/>
      </c>
      <c r="H28" s="20" t="inlineStr"/>
    </row>
    <row r="30">
      <c r="A30" s="9" t="inlineStr">
        <is>
          <t>5. Branding &amp; Signage</t>
        </is>
      </c>
    </row>
    <row r="31">
      <c r="A31" s="10" t="n">
        <v>13</v>
      </c>
      <c r="B31" s="11" t="inlineStr">
        <is>
          <t>Backlit fascia sign (DOFT)</t>
        </is>
      </c>
      <c r="C31" s="11" t="inlineStr">
        <is>
          <t>Acrylic face, LED, brushed-gold letters</t>
        </is>
      </c>
      <c r="D31" s="10" t="inlineStr">
        <is>
          <t>Nos</t>
        </is>
      </c>
      <c r="E31" s="12" t="n">
        <v>1</v>
      </c>
      <c r="F31" s="13" t="n">
        <v>16000</v>
      </c>
      <c r="G31" s="14">
        <f>E31*F31</f>
        <v/>
      </c>
      <c r="H31" s="15" t="inlineStr">
        <is>
          <t>Hero signage</t>
        </is>
      </c>
    </row>
    <row r="32">
      <c r="A32" s="16" t="n">
        <v>14</v>
      </c>
      <c r="B32" s="17" t="inlineStr">
        <is>
          <t>Counter wordmark</t>
        </is>
      </c>
      <c r="C32" s="17" t="inlineStr">
        <is>
          <t>Metal / acrylic letters</t>
        </is>
      </c>
      <c r="D32" s="16" t="inlineStr">
        <is>
          <t>Nos</t>
        </is>
      </c>
      <c r="E32" s="12" t="n">
        <v>1</v>
      </c>
      <c r="F32" s="13" t="n">
        <v>4500</v>
      </c>
      <c r="G32" s="18">
        <f>E32*F32</f>
        <v/>
      </c>
      <c r="H32" s="19" t="inlineStr"/>
    </row>
    <row r="33">
      <c r="A33" s="10" t="n">
        <v>15</v>
      </c>
      <c r="B33" s="11" t="inlineStr">
        <is>
          <t>Fascia framing &amp; mounting</t>
        </is>
      </c>
      <c r="C33" s="11" t="inlineStr"/>
      <c r="D33" s="10" t="inlineStr">
        <is>
          <t>Lot</t>
        </is>
      </c>
      <c r="E33" s="12" t="n">
        <v>1</v>
      </c>
      <c r="F33" s="13" t="n">
        <v>3000</v>
      </c>
      <c r="G33" s="14">
        <f>E33*F33</f>
        <v/>
      </c>
      <c r="H33" s="15" t="inlineStr"/>
    </row>
    <row r="34">
      <c r="A34" s="20" t="inlineStr"/>
      <c r="B34" s="21" t="inlineStr">
        <is>
          <t>Subtotal — Branding &amp; Signage</t>
        </is>
      </c>
      <c r="C34" s="20" t="inlineStr"/>
      <c r="D34" s="20" t="inlineStr"/>
      <c r="E34" s="20" t="inlineStr"/>
      <c r="F34" s="20" t="inlineStr"/>
      <c r="G34" s="22">
        <f>SUM(G31:G33)</f>
        <v/>
      </c>
      <c r="H34" s="20" t="inlineStr"/>
    </row>
    <row r="36">
      <c r="A36" s="9" t="inlineStr">
        <is>
          <t>6. Lighting</t>
        </is>
      </c>
    </row>
    <row r="37">
      <c r="A37" s="16" t="n">
        <v>16</v>
      </c>
      <c r="B37" s="17" t="inlineStr">
        <is>
          <t>Warm LED strips + drivers</t>
        </is>
      </c>
      <c r="C37" s="17" t="inlineStr">
        <is>
          <t>3000K</t>
        </is>
      </c>
      <c r="D37" s="16" t="inlineStr">
        <is>
          <t>rft</t>
        </is>
      </c>
      <c r="E37" s="12" t="n">
        <v>40</v>
      </c>
      <c r="F37" s="13" t="n">
        <v>220</v>
      </c>
      <c r="G37" s="18">
        <f>E37*F37</f>
        <v/>
      </c>
      <c r="H37" s="19" t="inlineStr">
        <is>
          <t>Shelf &amp; fascia</t>
        </is>
      </c>
    </row>
    <row r="38">
      <c r="A38" s="10" t="n">
        <v>17</v>
      </c>
      <c r="B38" s="11" t="inlineStr">
        <is>
          <t>Spotlights / track</t>
        </is>
      </c>
      <c r="C38" s="11" t="inlineStr">
        <is>
          <t>Warm</t>
        </is>
      </c>
      <c r="D38" s="10" t="inlineStr">
        <is>
          <t>Nos</t>
        </is>
      </c>
      <c r="E38" s="12" t="n">
        <v>6</v>
      </c>
      <c r="F38" s="13" t="n">
        <v>900</v>
      </c>
      <c r="G38" s="14">
        <f>E38*F38</f>
        <v/>
      </c>
      <c r="H38" s="15" t="inlineStr"/>
    </row>
    <row r="39">
      <c r="A39" s="16" t="n">
        <v>18</v>
      </c>
      <c r="B39" s="17" t="inlineStr">
        <is>
          <t>Pendant lights (Option C)</t>
        </is>
      </c>
      <c r="C39" s="17" t="inlineStr">
        <is>
          <t>Decorative</t>
        </is>
      </c>
      <c r="D39" s="16" t="inlineStr">
        <is>
          <t>Nos</t>
        </is>
      </c>
      <c r="E39" s="12" t="n">
        <v>2</v>
      </c>
      <c r="F39" s="13" t="n">
        <v>2500</v>
      </c>
      <c r="G39" s="18">
        <f>E39*F39</f>
        <v/>
      </c>
      <c r="H39" s="19" t="inlineStr">
        <is>
          <t>Optional</t>
        </is>
      </c>
    </row>
    <row r="40">
      <c r="A40" s="20" t="inlineStr"/>
      <c r="B40" s="21" t="inlineStr">
        <is>
          <t>Subtotal — Lighting</t>
        </is>
      </c>
      <c r="C40" s="20" t="inlineStr"/>
      <c r="D40" s="20" t="inlineStr"/>
      <c r="E40" s="20" t="inlineStr"/>
      <c r="F40" s="20" t="inlineStr"/>
      <c r="G40" s="22">
        <f>SUM(G37:G39)</f>
        <v/>
      </c>
      <c r="H40" s="20" t="inlineStr"/>
    </row>
    <row r="42">
      <c r="A42" s="9" t="inlineStr">
        <is>
          <t>7. Electrical</t>
        </is>
      </c>
    </row>
    <row r="43">
      <c r="A43" s="10" t="n">
        <v>19</v>
      </c>
      <c r="B43" s="11" t="inlineStr">
        <is>
          <t>Concealed wiring &amp; conduits</t>
        </is>
      </c>
      <c r="C43" s="11" t="inlineStr">
        <is>
          <t>Copper</t>
        </is>
      </c>
      <c r="D43" s="10" t="inlineStr">
        <is>
          <t>Lot</t>
        </is>
      </c>
      <c r="E43" s="12" t="n">
        <v>1</v>
      </c>
      <c r="F43" s="13" t="n">
        <v>9000</v>
      </c>
      <c r="G43" s="14">
        <f>E43*F43</f>
        <v/>
      </c>
      <c r="H43" s="15" t="inlineStr">
        <is>
          <t>Single power drop</t>
        </is>
      </c>
    </row>
    <row r="44">
      <c r="A44" s="16" t="n">
        <v>20</v>
      </c>
      <c r="B44" s="17" t="inlineStr">
        <is>
          <t>Distribution board &amp; MCBs</t>
        </is>
      </c>
      <c r="C44" s="17" t="inlineStr"/>
      <c r="D44" s="16" t="inlineStr">
        <is>
          <t>Nos</t>
        </is>
      </c>
      <c r="E44" s="12" t="n">
        <v>1</v>
      </c>
      <c r="F44" s="13" t="n">
        <v>4500</v>
      </c>
      <c r="G44" s="18">
        <f>E44*F44</f>
        <v/>
      </c>
      <c r="H44" s="19" t="inlineStr"/>
    </row>
    <row r="45">
      <c r="A45" s="10" t="n">
        <v>21</v>
      </c>
      <c r="B45" s="11" t="inlineStr">
        <is>
          <t>Sockets for billing / hardware</t>
        </is>
      </c>
      <c r="C45" s="11" t="inlineStr"/>
      <c r="D45" s="10" t="inlineStr">
        <is>
          <t>Nos</t>
        </is>
      </c>
      <c r="E45" s="12" t="n">
        <v>4</v>
      </c>
      <c r="F45" s="13" t="n">
        <v>350</v>
      </c>
      <c r="G45" s="14">
        <f>E45*F45</f>
        <v/>
      </c>
      <c r="H45" s="15" t="inlineStr"/>
    </row>
    <row r="46">
      <c r="A46" s="20" t="inlineStr"/>
      <c r="B46" s="21" t="inlineStr">
        <is>
          <t>Subtotal — Electrical</t>
        </is>
      </c>
      <c r="C46" s="20" t="inlineStr"/>
      <c r="D46" s="20" t="inlineStr"/>
      <c r="E46" s="20" t="inlineStr"/>
      <c r="F46" s="20" t="inlineStr"/>
      <c r="G46" s="22">
        <f>SUM(G43:G45)</f>
        <v/>
      </c>
      <c r="H46" s="20" t="inlineStr"/>
    </row>
    <row r="48">
      <c r="A48" s="9" t="inlineStr">
        <is>
          <t>8. Flooring &amp; Finishes</t>
        </is>
      </c>
    </row>
    <row r="49">
      <c r="A49" s="16" t="n">
        <v>22</v>
      </c>
      <c r="B49" s="17" t="inlineStr">
        <is>
          <t>Vinyl / laminate deck finish</t>
        </is>
      </c>
      <c r="C49" s="17" t="inlineStr">
        <is>
          <t>Wood-look</t>
        </is>
      </c>
      <c r="D49" s="16" t="inlineStr">
        <is>
          <t>sqft</t>
        </is>
      </c>
      <c r="E49" s="12" t="n">
        <v>64</v>
      </c>
      <c r="F49" s="13" t="n">
        <v>120</v>
      </c>
      <c r="G49" s="18">
        <f>E49*F49</f>
        <v/>
      </c>
      <c r="H49" s="19" t="inlineStr"/>
    </row>
    <row r="50">
      <c r="A50" s="10" t="n">
        <v>23</v>
      </c>
      <c r="B50" s="11" t="inlineStr">
        <is>
          <t>Edge trims &amp; skirting</t>
        </is>
      </c>
      <c r="C50" s="11" t="inlineStr">
        <is>
          <t>Brass / anodised</t>
        </is>
      </c>
      <c r="D50" s="10" t="inlineStr">
        <is>
          <t>rft</t>
        </is>
      </c>
      <c r="E50" s="12" t="n">
        <v>32</v>
      </c>
      <c r="F50" s="13" t="n">
        <v>90</v>
      </c>
      <c r="G50" s="14">
        <f>E50*F50</f>
        <v/>
      </c>
      <c r="H50" s="15" t="inlineStr"/>
    </row>
    <row r="51">
      <c r="A51" s="20" t="inlineStr"/>
      <c r="B51" s="21" t="inlineStr">
        <is>
          <t>Subtotal — Flooring &amp; Finishes</t>
        </is>
      </c>
      <c r="C51" s="20" t="inlineStr"/>
      <c r="D51" s="20" t="inlineStr"/>
      <c r="E51" s="20" t="inlineStr"/>
      <c r="F51" s="20" t="inlineStr"/>
      <c r="G51" s="22">
        <f>SUM(G49:G50)</f>
        <v/>
      </c>
      <c r="H51" s="20" t="inlineStr"/>
    </row>
    <row r="53">
      <c r="A53" s="9" t="inlineStr">
        <is>
          <t>9. Graphics &amp; Styling</t>
        </is>
      </c>
    </row>
    <row r="54">
      <c r="A54" s="16" t="n">
        <v>24</v>
      </c>
      <c r="B54" s="17" t="inlineStr">
        <is>
          <t>Vinyl graphics &amp; branding</t>
        </is>
      </c>
      <c r="C54" s="17" t="inlineStr">
        <is>
          <t>Printed, laminated</t>
        </is>
      </c>
      <c r="D54" s="16" t="inlineStr">
        <is>
          <t>sqft</t>
        </is>
      </c>
      <c r="E54" s="12" t="n">
        <v>25</v>
      </c>
      <c r="F54" s="13" t="n">
        <v>140</v>
      </c>
      <c r="G54" s="18">
        <f>E54*F54</f>
        <v/>
      </c>
      <c r="H54" s="19" t="inlineStr"/>
    </row>
    <row r="55">
      <c r="A55" s="10" t="n">
        <v>25</v>
      </c>
      <c r="B55" s="11" t="inlineStr">
        <is>
          <t>Dried-flower &amp; styling props</t>
        </is>
      </c>
      <c r="C55" s="11" t="inlineStr">
        <is>
          <t>Diwali dressing</t>
        </is>
      </c>
      <c r="D55" s="10" t="inlineStr">
        <is>
          <t>Lot</t>
        </is>
      </c>
      <c r="E55" s="12" t="n">
        <v>1</v>
      </c>
      <c r="F55" s="13" t="n">
        <v>5000</v>
      </c>
      <c r="G55" s="14">
        <f>E55*F55</f>
        <v/>
      </c>
      <c r="H55" s="15" t="inlineStr"/>
    </row>
    <row r="56">
      <c r="A56" s="20" t="inlineStr"/>
      <c r="B56" s="21" t="inlineStr">
        <is>
          <t>Subtotal — Graphics &amp; Styling</t>
        </is>
      </c>
      <c r="C56" s="20" t="inlineStr"/>
      <c r="D56" s="20" t="inlineStr"/>
      <c r="E56" s="20" t="inlineStr"/>
      <c r="F56" s="20" t="inlineStr"/>
      <c r="G56" s="22">
        <f>SUM(G54:G55)</f>
        <v/>
      </c>
      <c r="H56" s="20" t="inlineStr"/>
    </row>
    <row r="58">
      <c r="A58" s="9" t="inlineStr">
        <is>
          <t>10. Hardware &amp; Misc</t>
        </is>
      </c>
    </row>
    <row r="59">
      <c r="A59" s="16" t="n">
        <v>26</v>
      </c>
      <c r="B59" s="17" t="inlineStr">
        <is>
          <t>Locks, hinges, handles</t>
        </is>
      </c>
      <c r="C59" s="17" t="inlineStr">
        <is>
          <t>Branded</t>
        </is>
      </c>
      <c r="D59" s="16" t="inlineStr">
        <is>
          <t>Lot</t>
        </is>
      </c>
      <c r="E59" s="12" t="n">
        <v>1</v>
      </c>
      <c r="F59" s="13" t="n">
        <v>4000</v>
      </c>
      <c r="G59" s="18">
        <f>E59*F59</f>
        <v/>
      </c>
      <c r="H59" s="19" t="inlineStr"/>
    </row>
    <row r="60">
      <c r="A60" s="10" t="n">
        <v>27</v>
      </c>
      <c r="B60" s="11" t="inlineStr">
        <is>
          <t>Fasteners &amp; consumables</t>
        </is>
      </c>
      <c r="C60" s="11" t="inlineStr"/>
      <c r="D60" s="10" t="inlineStr">
        <is>
          <t>Lot</t>
        </is>
      </c>
      <c r="E60" s="12" t="n">
        <v>1</v>
      </c>
      <c r="F60" s="13" t="n">
        <v>2500</v>
      </c>
      <c r="G60" s="14">
        <f>E60*F60</f>
        <v/>
      </c>
      <c r="H60" s="15" t="inlineStr"/>
    </row>
    <row r="61">
      <c r="A61" s="16" t="n">
        <v>28</v>
      </c>
      <c r="B61" s="17" t="inlineStr">
        <is>
          <t>Fire extinguisher &amp; safety</t>
        </is>
      </c>
      <c r="C61" s="17" t="inlineStr">
        <is>
          <t>Compliance</t>
        </is>
      </c>
      <c r="D61" s="16" t="inlineStr">
        <is>
          <t>Nos</t>
        </is>
      </c>
      <c r="E61" s="12" t="n">
        <v>1</v>
      </c>
      <c r="F61" s="13" t="n">
        <v>2000</v>
      </c>
      <c r="G61" s="18">
        <f>E61*F61</f>
        <v/>
      </c>
      <c r="H61" s="19" t="inlineStr"/>
    </row>
    <row r="62">
      <c r="A62" s="20" t="inlineStr"/>
      <c r="B62" s="21" t="inlineStr">
        <is>
          <t>Subtotal — Hardware &amp; Misc</t>
        </is>
      </c>
      <c r="C62" s="20" t="inlineStr"/>
      <c r="D62" s="20" t="inlineStr"/>
      <c r="E62" s="20" t="inlineStr"/>
      <c r="F62" s="20" t="inlineStr"/>
      <c r="G62" s="22">
        <f>SUM(G59:G61)</f>
        <v/>
      </c>
      <c r="H62" s="20" t="inlineStr"/>
    </row>
    <row r="64">
      <c r="A64" s="9" t="inlineStr">
        <is>
          <t>11. Transport, Install &amp; Dismantle</t>
        </is>
      </c>
    </row>
    <row r="65">
      <c r="A65" s="10" t="n">
        <v>29</v>
      </c>
      <c r="B65" s="11" t="inlineStr">
        <is>
          <t>Fabrication labour</t>
        </is>
      </c>
      <c r="C65" s="11" t="inlineStr"/>
      <c r="D65" s="10" t="inlineStr">
        <is>
          <t>Lot</t>
        </is>
      </c>
      <c r="E65" s="12" t="n">
        <v>1</v>
      </c>
      <c r="F65" s="13" t="n">
        <v>25000</v>
      </c>
      <c r="G65" s="14">
        <f>E65*F65</f>
        <v/>
      </c>
      <c r="H65" s="15" t="inlineStr"/>
    </row>
    <row r="66">
      <c r="A66" s="16" t="n">
        <v>30</v>
      </c>
      <c r="B66" s="17" t="inlineStr">
        <is>
          <t>Transport to mall (per city avg)</t>
        </is>
      </c>
      <c r="C66" s="17" t="inlineStr"/>
      <c r="D66" s="16" t="inlineStr">
        <is>
          <t>Lot</t>
        </is>
      </c>
      <c r="E66" s="12" t="n">
        <v>1</v>
      </c>
      <c r="F66" s="13" t="n">
        <v>12000</v>
      </c>
      <c r="G66" s="18">
        <f>E66*F66</f>
        <v/>
      </c>
      <c r="H66" s="19" t="inlineStr"/>
    </row>
    <row r="67">
      <c r="A67" s="10" t="n">
        <v>31</v>
      </c>
      <c r="B67" s="11" t="inlineStr">
        <is>
          <t>On-site install &amp; finishing</t>
        </is>
      </c>
      <c r="C67" s="11" t="inlineStr"/>
      <c r="D67" s="10" t="inlineStr">
        <is>
          <t>Lot</t>
        </is>
      </c>
      <c r="E67" s="12" t="n">
        <v>1</v>
      </c>
      <c r="F67" s="13" t="n">
        <v>9000</v>
      </c>
      <c r="G67" s="14">
        <f>E67*F67</f>
        <v/>
      </c>
      <c r="H67" s="15" t="inlineStr"/>
    </row>
    <row r="68">
      <c r="A68" s="16" t="n">
        <v>32</v>
      </c>
      <c r="B68" s="17" t="inlineStr">
        <is>
          <t>Dismantle &amp; return</t>
        </is>
      </c>
      <c r="C68" s="17" t="inlineStr">
        <is>
          <t>End of season</t>
        </is>
      </c>
      <c r="D68" s="16" t="inlineStr">
        <is>
          <t>Lot</t>
        </is>
      </c>
      <c r="E68" s="12" t="n">
        <v>1</v>
      </c>
      <c r="F68" s="13" t="n">
        <v>6000</v>
      </c>
      <c r="G68" s="18">
        <f>E68*F68</f>
        <v/>
      </c>
      <c r="H68" s="19" t="inlineStr"/>
    </row>
    <row r="69">
      <c r="A69" s="20" t="inlineStr"/>
      <c r="B69" s="21" t="inlineStr">
        <is>
          <t>Subtotal — Transport, Install &amp; Dismantle</t>
        </is>
      </c>
      <c r="C69" s="20" t="inlineStr"/>
      <c r="D69" s="20" t="inlineStr"/>
      <c r="E69" s="20" t="inlineStr"/>
      <c r="F69" s="20" t="inlineStr"/>
      <c r="G69" s="22">
        <f>SUM(G65:G68)</f>
        <v/>
      </c>
      <c r="H69" s="20" t="inlineStr"/>
    </row>
    <row r="71">
      <c r="A71" s="23" t="inlineStr"/>
      <c r="B71" s="24" t="inlineStr">
        <is>
          <t>COST SUMMARY (per kiosk)</t>
        </is>
      </c>
      <c r="C71" s="25" t="n"/>
      <c r="D71" s="25" t="n"/>
      <c r="E71" s="25" t="n"/>
      <c r="F71" s="25" t="n"/>
      <c r="G71" s="25" t="n"/>
      <c r="H71" s="26" t="n"/>
    </row>
    <row r="72">
      <c r="A72" s="7" t="inlineStr"/>
      <c r="B72" s="27" t="inlineStr">
        <is>
          <t>Fabrication subtotal (all sections)</t>
        </is>
      </c>
      <c r="C72" s="25" t="n"/>
      <c r="D72" s="25" t="n"/>
      <c r="E72" s="25" t="n"/>
      <c r="F72" s="26" t="n"/>
      <c r="G72" s="28">
        <f>G10+G16+G22+G28+G34+G40+G46+G51+G56+G62+G69</f>
        <v/>
      </c>
      <c r="H72" s="7" t="inlineStr"/>
    </row>
    <row r="73">
      <c r="A73" s="6" t="inlineStr"/>
      <c r="B73" s="6" t="inlineStr">
        <is>
          <t>Contingency</t>
        </is>
      </c>
      <c r="C73" s="25" t="n"/>
      <c r="D73" s="26" t="n"/>
      <c r="E73" s="6" t="inlineStr"/>
      <c r="F73" s="29" t="n">
        <v>0.08</v>
      </c>
      <c r="G73" s="30">
        <f>G72*F73</f>
        <v/>
      </c>
      <c r="H73" s="6" t="inlineStr"/>
    </row>
    <row r="74">
      <c r="A74" s="6" t="inlineStr"/>
      <c r="B74" s="6" t="inlineStr">
        <is>
          <t>Design &amp; project management</t>
        </is>
      </c>
      <c r="C74" s="25" t="n"/>
      <c r="D74" s="26" t="n"/>
      <c r="E74" s="6" t="inlineStr"/>
      <c r="F74" s="29" t="n">
        <v>0.12</v>
      </c>
      <c r="G74" s="30">
        <f>G72*F74</f>
        <v/>
      </c>
      <c r="H74" s="6" t="inlineStr"/>
    </row>
    <row r="75">
      <c r="A75" s="7" t="inlineStr"/>
      <c r="B75" s="27" t="inlineStr">
        <is>
          <t>Sub-total (pre-GST)</t>
        </is>
      </c>
      <c r="C75" s="25" t="n"/>
      <c r="D75" s="25" t="n"/>
      <c r="E75" s="25" t="n"/>
      <c r="F75" s="26" t="n"/>
      <c r="G75" s="28">
        <f>G72+G73+G74</f>
        <v/>
      </c>
      <c r="H75" s="7" t="inlineStr"/>
    </row>
    <row r="76">
      <c r="A76" s="6" t="inlineStr"/>
      <c r="B76" s="6" t="inlineStr">
        <is>
          <t>GST</t>
        </is>
      </c>
      <c r="C76" s="25" t="n"/>
      <c r="D76" s="26" t="n"/>
      <c r="E76" s="6" t="inlineStr"/>
      <c r="F76" s="29" t="n">
        <v>0.18</v>
      </c>
      <c r="G76" s="30">
        <f>G75*F76</f>
        <v/>
      </c>
      <c r="H76" s="6" t="inlineStr"/>
    </row>
    <row r="77">
      <c r="A77" s="31" t="inlineStr"/>
      <c r="B77" s="32" t="inlineStr">
        <is>
          <t>PER-KIOSK TOTAL (incl. GST)</t>
        </is>
      </c>
      <c r="C77" s="25" t="n"/>
      <c r="D77" s="25" t="n"/>
      <c r="E77" s="25" t="n"/>
      <c r="F77" s="26" t="n"/>
      <c r="G77" s="33">
        <f>G75+G76</f>
        <v/>
      </c>
      <c r="H77" s="31" t="inlineStr"/>
    </row>
    <row r="79">
      <c r="A79" s="6" t="inlineStr"/>
      <c r="B79" s="6" t="inlineStr">
        <is>
          <t>Number of kiosks</t>
        </is>
      </c>
      <c r="C79" s="25" t="n"/>
      <c r="D79" s="25" t="n"/>
      <c r="E79" s="26" t="n"/>
      <c r="F79" s="6" t="inlineStr"/>
      <c r="G79" s="34" t="n">
        <v>9</v>
      </c>
      <c r="H79" s="35" t="inlineStr">
        <is>
          <t>Edit to your rollout</t>
        </is>
      </c>
    </row>
    <row r="80">
      <c r="A80" s="23" t="inlineStr"/>
      <c r="B80" s="24" t="inlineStr">
        <is>
          <t>PROGRAMME TOTAL (all kiosks, incl. GST)</t>
        </is>
      </c>
      <c r="C80" s="36" t="n"/>
      <c r="D80" s="36" t="n"/>
      <c r="E80" s="36" t="n"/>
      <c r="F80" s="37" t="n"/>
      <c r="G80" s="38">
        <f>G77*G79</f>
        <v/>
      </c>
      <c r="H80" s="23" t="inlineStr"/>
    </row>
    <row r="83">
      <c r="A83" s="39" t="inlineStr">
        <is>
          <t>Note: quantities and rates are indicative placeholders for planning. Confirm against production drawings and vendor quotes. Pendant lights apply to Option C only.</t>
        </is>
      </c>
    </row>
  </sheetData>
  <mergeCells count="23">
    <mergeCell ref="A48:H48"/>
    <mergeCell ref="B75:F75"/>
    <mergeCell ref="A30:H30"/>
    <mergeCell ref="A83:H83"/>
    <mergeCell ref="A24:H24"/>
    <mergeCell ref="B72:F72"/>
    <mergeCell ref="A64:H64"/>
    <mergeCell ref="B73:D73"/>
    <mergeCell ref="A36:H36"/>
    <mergeCell ref="A1:H1"/>
    <mergeCell ref="A6:H6"/>
    <mergeCell ref="B79:E79"/>
    <mergeCell ref="B77:F77"/>
    <mergeCell ref="B74:D74"/>
    <mergeCell ref="A12:H12"/>
    <mergeCell ref="A18:H18"/>
    <mergeCell ref="B76:D76"/>
    <mergeCell ref="B71:H71"/>
    <mergeCell ref="A2:H2"/>
    <mergeCell ref="A42:H42"/>
    <mergeCell ref="A53:H53"/>
    <mergeCell ref="B80:F80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2026-07-31T08:09:36Z</dcterms:created>
  <dcterms:modified xmlns:dcterms="http://purl.org/dc/terms/" xmlns:xsi="http://www.w3.org/2001/XMLSchema-instance" xsi:type="dcterms:W3CDTF">2026-07-31T08:09:36Z</dcterms:modified>
</cp:coreProperties>
</file>